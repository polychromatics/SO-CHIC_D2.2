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arbar\OneDrive - NERC\Gliders\Glider 631\Refurbishment\631_Jul_2021\"/>
    </mc:Choice>
  </mc:AlternateContent>
  <bookViews>
    <workbookView xWindow="0" yWindow="0" windowWidth="28800" windowHeight="14220" activeTab="7"/>
  </bookViews>
  <sheets>
    <sheet name="Ballast" sheetId="1" r:id="rId1"/>
    <sheet name="Worksheet" sheetId="4" r:id="rId2"/>
    <sheet name="G1 Shallow" sheetId="2" state="hidden" r:id="rId3"/>
    <sheet name="G1 Deep" sheetId="5" state="hidden" r:id="rId4"/>
    <sheet name="G2" sheetId="9" state="hidden" r:id="rId5"/>
    <sheet name="Ballast Drive" sheetId="15" r:id="rId6"/>
    <sheet name="G2 DVL" sheetId="10" state="hidden" r:id="rId7"/>
    <sheet name="G2 EN" sheetId="13" r:id="rId8"/>
    <sheet name="G2 EnergySci Bay" sheetId="11" state="hidden" r:id="rId9"/>
    <sheet name="Revision History" sheetId="14" state="hidden" r:id="rId10"/>
    <sheet name="Constants" sheetId="6" state="hidden" r:id="rId11"/>
  </sheets>
  <externalReferences>
    <externalReference r:id="rId12"/>
  </externalReferences>
  <definedNames>
    <definedName name="aft_config" localSheetId="5">[1]Constants!$D$2:$D$6</definedName>
    <definedName name="aft_config" localSheetId="4">Constants!$F$3:$F$7</definedName>
    <definedName name="aft_config" localSheetId="6">Constants!$F$3:$F$7</definedName>
    <definedName name="aft_config" localSheetId="7">Constants!$F$3:$F$7</definedName>
    <definedName name="aft_config" localSheetId="8">Constants!$F$3:$F$7</definedName>
    <definedName name="aft_config">Constants!$D$2:$D$6</definedName>
    <definedName name="battery_type" localSheetId="5">[1]Constants!$C$2:$C$3</definedName>
    <definedName name="battery_type" localSheetId="4">Constants!$E$3:$E$4</definedName>
    <definedName name="battery_type" localSheetId="6">Constants!$E$3:$E$4</definedName>
    <definedName name="battery_type" localSheetId="7">Constants!$E$3:$E$4</definedName>
    <definedName name="battery_type" localSheetId="8">Constants!$E$3:$E$4</definedName>
    <definedName name="battery_type">Constants!$C$2:$C$3</definedName>
    <definedName name="glider_type" localSheetId="5">[1]Constants!$A$2:$A$6</definedName>
    <definedName name="glider_type">Constants!$A$2:$A$6</definedName>
    <definedName name="nose_config" localSheetId="5">[1]Constants!$F$2:$F$5</definedName>
    <definedName name="nose_config" localSheetId="4">Constants!$G$3:$G$5</definedName>
    <definedName name="nose_config" localSheetId="6">Constants!$G$3:$G$5</definedName>
    <definedName name="nose_config" localSheetId="7">Constants!$G$3:$G$5</definedName>
    <definedName name="nose_config" localSheetId="8">Constants!$G$3:$G$5</definedName>
    <definedName name="nose_config">Constants!$F$2:$F$5</definedName>
    <definedName name="pinger_style" localSheetId="5">[1]Constants!$J$2:$J$6</definedName>
    <definedName name="pinger_style">Constants!$J$2:$J$6</definedName>
    <definedName name="pond_wings" localSheetId="5">[1]Constants!$H$2:$H$5</definedName>
    <definedName name="pond_wings">Constants!$H$2:$H$5</definedName>
    <definedName name="_xlnm.Print_Area" localSheetId="0">Ballast!$A$1:$H$94</definedName>
    <definedName name="_xlnm.Print_Area" localSheetId="3">'G1 Deep'!$A$1:$E$64</definedName>
    <definedName name="_xlnm.Print_Area" localSheetId="2">'G1 Shallow'!$A$1:$E$63</definedName>
    <definedName name="_xlnm.Print_Area" localSheetId="4">'G2'!$A$1:$E$64</definedName>
    <definedName name="_xlnm.Print_Area" localSheetId="6">'G2 DVL'!$A$1:$E$64</definedName>
    <definedName name="_xlnm.Print_Area" localSheetId="7">'G2 EN'!$A$1:$E$64</definedName>
    <definedName name="_xlnm.Print_Area" localSheetId="8">'G2 EnergySci Bay'!$A$1:$E$63</definedName>
    <definedName name="_xlnm.Print_Area" localSheetId="9">'Revision History'!$A$1:$D$22</definedName>
    <definedName name="_xlnm.Print_Area" localSheetId="1">Worksheet!$A$1:$H$54</definedName>
    <definedName name="_xlnm.Print_Titles" localSheetId="0">Ballast!$1:$5</definedName>
    <definedName name="weight_type" localSheetId="5">[1]Constants!$G$2:$G$3</definedName>
    <definedName name="weight_type" localSheetId="4">Constants!$H$3:$H$4</definedName>
    <definedName name="weight_type" localSheetId="6">Constants!$H$3:$H$4</definedName>
    <definedName name="weight_type" localSheetId="7">Constants!$H$3:$H$4</definedName>
    <definedName name="weight_type" localSheetId="8">Constants!$H$3:$H$4</definedName>
    <definedName name="weight_type">Constants!$G$2:$G$3</definedName>
  </definedNames>
  <calcPr calcId="162913"/>
</workbook>
</file>

<file path=xl/calcChain.xml><?xml version="1.0" encoding="utf-8"?>
<calcChain xmlns="http://schemas.openxmlformats.org/spreadsheetml/2006/main">
  <c r="G7" i="4" l="1"/>
  <c r="G47" i="4"/>
  <c r="C48" i="4"/>
  <c r="C47" i="4"/>
  <c r="C44" i="1" l="1"/>
  <c r="C9" i="4" l="1"/>
  <c r="M9" i="9" l="1"/>
  <c r="E7" i="15"/>
  <c r="E6" i="15"/>
  <c r="E5" i="15"/>
  <c r="F5" i="15" l="1"/>
  <c r="F6" i="15"/>
  <c r="F7" i="15" s="1"/>
  <c r="G5" i="15" s="1"/>
  <c r="B12" i="15" s="1"/>
  <c r="B13" i="15" l="1"/>
  <c r="B14" i="15" s="1"/>
  <c r="M10" i="9"/>
  <c r="M11" i="9" s="1"/>
  <c r="G6" i="15"/>
  <c r="G69" i="1" l="1"/>
  <c r="C83" i="1" l="1"/>
  <c r="I19" i="9" l="1"/>
  <c r="G14" i="4" l="1"/>
  <c r="C14" i="4"/>
  <c r="C72" i="1" l="1"/>
  <c r="I32" i="1" l="1"/>
  <c r="C7" i="4" l="1"/>
  <c r="C8" i="4"/>
  <c r="C65" i="1" l="1"/>
  <c r="C64" i="1"/>
  <c r="C63" i="1"/>
  <c r="C66" i="1" l="1"/>
  <c r="G70" i="1"/>
  <c r="G68" i="1"/>
  <c r="C70" i="1" l="1"/>
  <c r="M9" i="11" l="1"/>
  <c r="M11" i="11" s="1"/>
  <c r="M9" i="13"/>
  <c r="M11" i="13" s="1"/>
  <c r="M9" i="10"/>
  <c r="M11" i="10" s="1"/>
  <c r="I20" i="11"/>
  <c r="I19" i="11"/>
  <c r="E19" i="11"/>
  <c r="I20" i="13"/>
  <c r="I19" i="13"/>
  <c r="E19" i="13"/>
  <c r="I20" i="10"/>
  <c r="I19" i="10"/>
  <c r="E19" i="10"/>
  <c r="I20" i="9"/>
  <c r="E19" i="9"/>
  <c r="M9" i="5"/>
  <c r="M11" i="5" s="1"/>
  <c r="I20" i="5"/>
  <c r="I19" i="5"/>
  <c r="E19" i="5"/>
  <c r="E25" i="9"/>
  <c r="M9" i="2"/>
  <c r="M11" i="2" s="1"/>
  <c r="I19" i="2"/>
  <c r="I20" i="2"/>
  <c r="C54" i="4" l="1"/>
  <c r="C53" i="4"/>
  <c r="C28" i="1"/>
  <c r="C29" i="1" s="1"/>
  <c r="C17" i="6" l="1"/>
  <c r="D17" i="6" s="1"/>
  <c r="E72" i="1" l="1"/>
  <c r="B8" i="11" l="1"/>
  <c r="B8" i="13"/>
  <c r="B8" i="10"/>
  <c r="B8" i="9"/>
  <c r="B8" i="5"/>
  <c r="B8" i="2"/>
  <c r="B7" i="11" l="1"/>
  <c r="B7" i="13"/>
  <c r="B7" i="10"/>
  <c r="B7" i="9"/>
  <c r="B7" i="5"/>
  <c r="B7" i="2"/>
  <c r="E83" i="1" l="1"/>
  <c r="E4" i="11" l="1"/>
  <c r="E3" i="11"/>
  <c r="E2" i="11"/>
  <c r="E1" i="11"/>
  <c r="E4" i="13"/>
  <c r="E3" i="13"/>
  <c r="E2" i="13"/>
  <c r="E1" i="13"/>
  <c r="E4" i="10"/>
  <c r="E3" i="10"/>
  <c r="E2" i="10"/>
  <c r="E1" i="10"/>
  <c r="E4" i="9"/>
  <c r="E3" i="9"/>
  <c r="E2" i="9"/>
  <c r="E1" i="9"/>
  <c r="B68" i="13" l="1"/>
  <c r="C62" i="13" s="1"/>
  <c r="B67" i="13"/>
  <c r="C61" i="13" s="1"/>
  <c r="C56" i="13"/>
  <c r="F56" i="13" s="1"/>
  <c r="F55" i="13"/>
  <c r="B55" i="13"/>
  <c r="F54" i="13"/>
  <c r="B54" i="13"/>
  <c r="F53" i="13"/>
  <c r="B53" i="13"/>
  <c r="F52" i="13"/>
  <c r="B52" i="13"/>
  <c r="F51" i="13"/>
  <c r="B51" i="13"/>
  <c r="F50" i="13"/>
  <c r="B50" i="13"/>
  <c r="F49" i="13"/>
  <c r="B49" i="13"/>
  <c r="F48" i="13"/>
  <c r="B48" i="13"/>
  <c r="C42" i="13"/>
  <c r="B71" i="13" s="1"/>
  <c r="C41" i="13"/>
  <c r="D54" i="13" s="1"/>
  <c r="C40" i="13"/>
  <c r="D53" i="13" s="1"/>
  <c r="C39" i="13"/>
  <c r="D52" i="13" s="1"/>
  <c r="C38" i="13"/>
  <c r="D51" i="13" s="1"/>
  <c r="C37" i="13"/>
  <c r="D50" i="13" s="1"/>
  <c r="C36" i="13"/>
  <c r="D49" i="13" s="1"/>
  <c r="C35" i="13"/>
  <c r="B70" i="13" s="1"/>
  <c r="E26" i="13"/>
  <c r="C26" i="13"/>
  <c r="E25" i="13"/>
  <c r="C25" i="13"/>
  <c r="C28" i="13" l="1"/>
  <c r="D48" i="13"/>
  <c r="D55" i="13"/>
  <c r="C18" i="6"/>
  <c r="D18" i="6" s="1"/>
  <c r="D56" i="13" l="1"/>
  <c r="B68" i="11"/>
  <c r="C62" i="11" s="1"/>
  <c r="B67" i="11"/>
  <c r="C61" i="11" s="1"/>
  <c r="C56" i="11"/>
  <c r="F56" i="11" s="1"/>
  <c r="F55" i="11"/>
  <c r="B55" i="11"/>
  <c r="F54" i="11"/>
  <c r="B54" i="11"/>
  <c r="F53" i="11"/>
  <c r="B53" i="11"/>
  <c r="F52" i="11"/>
  <c r="B52" i="11"/>
  <c r="F51" i="11"/>
  <c r="B51" i="11"/>
  <c r="F50" i="11"/>
  <c r="B50" i="11"/>
  <c r="F49" i="11"/>
  <c r="B49" i="11"/>
  <c r="F48" i="11"/>
  <c r="B48" i="11"/>
  <c r="C42" i="11"/>
  <c r="B71" i="11" s="1"/>
  <c r="C41" i="11"/>
  <c r="D54" i="11" s="1"/>
  <c r="C40" i="11"/>
  <c r="D53" i="11" s="1"/>
  <c r="C39" i="11"/>
  <c r="D52" i="11" s="1"/>
  <c r="C38" i="11"/>
  <c r="D51" i="11" s="1"/>
  <c r="C37" i="11"/>
  <c r="D50" i="11" s="1"/>
  <c r="C36" i="11"/>
  <c r="D49" i="11" s="1"/>
  <c r="C35" i="11"/>
  <c r="B70" i="11" s="1"/>
  <c r="E26" i="11"/>
  <c r="C26" i="11"/>
  <c r="E25" i="11"/>
  <c r="C25" i="11"/>
  <c r="C40" i="10"/>
  <c r="B68" i="10"/>
  <c r="C62" i="10" s="1"/>
  <c r="B67" i="10"/>
  <c r="C61" i="10" s="1"/>
  <c r="C56" i="10"/>
  <c r="F56" i="10" s="1"/>
  <c r="F55" i="10"/>
  <c r="B55" i="10"/>
  <c r="F54" i="10"/>
  <c r="B54" i="10"/>
  <c r="F53" i="10"/>
  <c r="B53" i="10"/>
  <c r="F52" i="10"/>
  <c r="B52" i="10"/>
  <c r="F51" i="10"/>
  <c r="B51" i="10"/>
  <c r="F50" i="10"/>
  <c r="B50" i="10"/>
  <c r="F49" i="10"/>
  <c r="B49" i="10"/>
  <c r="F48" i="10"/>
  <c r="B48" i="10"/>
  <c r="C42" i="10"/>
  <c r="B71" i="10" s="1"/>
  <c r="C41" i="10"/>
  <c r="D54" i="10" s="1"/>
  <c r="D53" i="10"/>
  <c r="C39" i="10"/>
  <c r="D52" i="10" s="1"/>
  <c r="C38" i="10"/>
  <c r="D51" i="10" s="1"/>
  <c r="C37" i="10"/>
  <c r="D50" i="10" s="1"/>
  <c r="C36" i="10"/>
  <c r="D49" i="10" s="1"/>
  <c r="C35" i="10"/>
  <c r="B70" i="10" s="1"/>
  <c r="E26" i="10"/>
  <c r="C26" i="10"/>
  <c r="E25" i="10"/>
  <c r="C25" i="10"/>
  <c r="B68" i="9"/>
  <c r="C62" i="9" s="1"/>
  <c r="B67" i="9"/>
  <c r="C61" i="9" s="1"/>
  <c r="C56" i="9"/>
  <c r="F56" i="9" s="1"/>
  <c r="F55" i="9"/>
  <c r="B55" i="9"/>
  <c r="F54" i="9"/>
  <c r="B54" i="9"/>
  <c r="F53" i="9"/>
  <c r="B53" i="9"/>
  <c r="F52" i="9"/>
  <c r="B52" i="9"/>
  <c r="F51" i="9"/>
  <c r="B51" i="9"/>
  <c r="F50" i="9"/>
  <c r="B50" i="9"/>
  <c r="F49" i="9"/>
  <c r="B49" i="9"/>
  <c r="F48" i="9"/>
  <c r="B48" i="9"/>
  <c r="C42" i="9"/>
  <c r="B71" i="9" s="1"/>
  <c r="C41" i="9"/>
  <c r="D54" i="9" s="1"/>
  <c r="C40" i="9"/>
  <c r="D53" i="9" s="1"/>
  <c r="C39" i="9"/>
  <c r="D52" i="9" s="1"/>
  <c r="C38" i="9"/>
  <c r="D51" i="9" s="1"/>
  <c r="C37" i="9"/>
  <c r="D50" i="9" s="1"/>
  <c r="C36" i="9"/>
  <c r="D49" i="9" s="1"/>
  <c r="C35" i="9"/>
  <c r="D48" i="9" s="1"/>
  <c r="E26" i="9"/>
  <c r="C26" i="9"/>
  <c r="C25" i="9"/>
  <c r="C28" i="9" l="1"/>
  <c r="B70" i="9"/>
  <c r="D55" i="9"/>
  <c r="D56" i="9" s="1"/>
  <c r="C60" i="13"/>
  <c r="B61" i="13"/>
  <c r="B62" i="13"/>
  <c r="B60" i="13"/>
  <c r="C28" i="11"/>
  <c r="D48" i="11"/>
  <c r="D55" i="11"/>
  <c r="C28" i="10"/>
  <c r="D48" i="10"/>
  <c r="D55" i="10"/>
  <c r="B62" i="9" l="1"/>
  <c r="B61" i="9"/>
  <c r="C60" i="9"/>
  <c r="D56" i="11"/>
  <c r="D56" i="10"/>
  <c r="B60" i="9"/>
  <c r="C60" i="11" l="1"/>
  <c r="B62" i="11"/>
  <c r="B60" i="11"/>
  <c r="B61" i="11"/>
  <c r="C60" i="10"/>
  <c r="B60" i="10"/>
  <c r="B61" i="10"/>
  <c r="B62" i="10"/>
  <c r="G4" i="4"/>
  <c r="G3" i="4"/>
  <c r="G2" i="4"/>
  <c r="G1" i="4"/>
  <c r="E2" i="5"/>
  <c r="E3" i="5"/>
  <c r="E4" i="5"/>
  <c r="E1" i="5"/>
  <c r="E4" i="2"/>
  <c r="E3" i="2"/>
  <c r="E2" i="2"/>
  <c r="E1" i="2"/>
  <c r="C14" i="6" l="1"/>
  <c r="D14" i="6" s="1"/>
  <c r="C13" i="6"/>
  <c r="D13" i="6" s="1"/>
  <c r="B6" i="6" s="1"/>
  <c r="C12" i="6"/>
  <c r="D12" i="6" s="1"/>
  <c r="C11" i="6"/>
  <c r="D11" i="6" s="1"/>
  <c r="B2" i="6" s="1"/>
  <c r="B3" i="6" l="1"/>
  <c r="B5" i="6"/>
  <c r="B4" i="6"/>
  <c r="G15" i="4"/>
  <c r="C15" i="4"/>
  <c r="C10" i="4" l="1"/>
  <c r="C16" i="6"/>
  <c r="D16" i="6" s="1"/>
  <c r="C15" i="6"/>
  <c r="D15" i="6" s="1"/>
  <c r="I35" i="1" l="1"/>
  <c r="I33" i="1" l="1"/>
  <c r="I34" i="1"/>
  <c r="C37" i="1"/>
  <c r="E37" i="1"/>
  <c r="E67" i="1"/>
  <c r="E73" i="1"/>
  <c r="E84" i="1"/>
  <c r="E85" i="1"/>
  <c r="E86" i="1"/>
  <c r="E87" i="1"/>
  <c r="E91" i="1"/>
  <c r="C25" i="5"/>
  <c r="E25" i="5"/>
  <c r="C26" i="5"/>
  <c r="E26" i="5"/>
  <c r="C35" i="5"/>
  <c r="D48" i="5" s="1"/>
  <c r="C36" i="5"/>
  <c r="D49" i="5" s="1"/>
  <c r="C37" i="5"/>
  <c r="D50" i="5" s="1"/>
  <c r="C38" i="5"/>
  <c r="C39" i="5"/>
  <c r="D52" i="5" s="1"/>
  <c r="C40" i="5"/>
  <c r="D53" i="5" s="1"/>
  <c r="C41" i="5"/>
  <c r="C42" i="5"/>
  <c r="B71" i="5" s="1"/>
  <c r="B48" i="5"/>
  <c r="F48" i="5"/>
  <c r="B49" i="5"/>
  <c r="F49" i="5"/>
  <c r="B50" i="5"/>
  <c r="F50" i="5"/>
  <c r="B51" i="5"/>
  <c r="D51" i="5"/>
  <c r="F51" i="5"/>
  <c r="B52" i="5"/>
  <c r="F52" i="5"/>
  <c r="B53" i="5"/>
  <c r="F53" i="5"/>
  <c r="B54" i="5"/>
  <c r="D54" i="5"/>
  <c r="F54" i="5"/>
  <c r="B55" i="5"/>
  <c r="F55" i="5"/>
  <c r="C56" i="5"/>
  <c r="F56" i="5" s="1"/>
  <c r="B67" i="5"/>
  <c r="C61" i="5" s="1"/>
  <c r="B68" i="5"/>
  <c r="C62" i="5" s="1"/>
  <c r="E19" i="2"/>
  <c r="C25" i="2"/>
  <c r="E25" i="2"/>
  <c r="C26" i="2"/>
  <c r="E26" i="2"/>
  <c r="C35" i="2"/>
  <c r="D48" i="2" s="1"/>
  <c r="C36" i="2"/>
  <c r="D49" i="2" s="1"/>
  <c r="C37" i="2"/>
  <c r="D50" i="2" s="1"/>
  <c r="C38" i="2"/>
  <c r="D51" i="2" s="1"/>
  <c r="B39" i="2"/>
  <c r="C39" i="2" s="1"/>
  <c r="D52" i="2" s="1"/>
  <c r="C40" i="2"/>
  <c r="D53" i="2" s="1"/>
  <c r="B41" i="2"/>
  <c r="C41" i="2" s="1"/>
  <c r="D54" i="2" s="1"/>
  <c r="C42" i="2"/>
  <c r="D55" i="2" s="1"/>
  <c r="B48" i="2"/>
  <c r="F48" i="2"/>
  <c r="B49" i="2"/>
  <c r="F49" i="2"/>
  <c r="B50" i="2"/>
  <c r="F50" i="2"/>
  <c r="B51" i="2"/>
  <c r="F51" i="2"/>
  <c r="B52" i="2"/>
  <c r="F52" i="2"/>
  <c r="B53" i="2"/>
  <c r="F53" i="2"/>
  <c r="B54" i="2"/>
  <c r="F54" i="2"/>
  <c r="B55" i="2"/>
  <c r="F55" i="2"/>
  <c r="C56" i="2"/>
  <c r="F56" i="2" s="1"/>
  <c r="B67" i="2"/>
  <c r="C61" i="2" s="1"/>
  <c r="B68" i="2"/>
  <c r="C62" i="2" s="1"/>
  <c r="B70" i="5" l="1"/>
  <c r="D55" i="5"/>
  <c r="D56" i="5" s="1"/>
  <c r="C28" i="5"/>
  <c r="C28" i="2"/>
  <c r="B71" i="2"/>
  <c r="C38" i="1"/>
  <c r="C16" i="4"/>
  <c r="E38" i="1"/>
  <c r="G17" i="4" s="1"/>
  <c r="G16" i="4"/>
  <c r="D56" i="2"/>
  <c r="B70" i="2"/>
  <c r="C17" i="4" l="1"/>
  <c r="I21" i="10"/>
  <c r="M25" i="10" s="1"/>
  <c r="I22" i="10" s="1"/>
  <c r="I21" i="9"/>
  <c r="M25" i="9" s="1"/>
  <c r="I22" i="9" s="1"/>
  <c r="I21" i="11"/>
  <c r="M25" i="11" s="1"/>
  <c r="I22" i="11" s="1"/>
  <c r="I21" i="13"/>
  <c r="M25" i="13" s="1"/>
  <c r="I22" i="13" s="1"/>
  <c r="I21" i="5"/>
  <c r="M25" i="5" s="1"/>
  <c r="I22" i="5" s="1"/>
  <c r="I21" i="2"/>
  <c r="M25" i="2" s="1"/>
  <c r="I22" i="2" s="1"/>
  <c r="G32" i="1"/>
  <c r="C74" i="1"/>
  <c r="C60" i="5"/>
  <c r="B60" i="5"/>
  <c r="B61" i="5"/>
  <c r="B62" i="5"/>
  <c r="C89" i="1"/>
  <c r="C92" i="1" s="1"/>
  <c r="B61" i="2"/>
  <c r="B62" i="2"/>
  <c r="G38" i="1"/>
  <c r="I38" i="1"/>
  <c r="I39" i="1" s="1"/>
  <c r="B60" i="2"/>
  <c r="C60" i="2"/>
  <c r="C11" i="4" l="1"/>
  <c r="G39" i="1"/>
  <c r="C41" i="1" l="1"/>
  <c r="C20" i="13"/>
  <c r="C21" i="13" s="1"/>
  <c r="C22" i="13" s="1"/>
  <c r="C20" i="10"/>
  <c r="C21" i="10" s="1"/>
  <c r="C22" i="10" s="1"/>
  <c r="C20" i="9"/>
  <c r="C21" i="9" s="1"/>
  <c r="C22" i="9" s="1"/>
  <c r="C20" i="11"/>
  <c r="C21" i="11" s="1"/>
  <c r="C22" i="11" s="1"/>
  <c r="C20" i="5"/>
  <c r="C21" i="5" s="1"/>
  <c r="C22" i="5" s="1"/>
  <c r="C20" i="2"/>
  <c r="B59" i="2" l="1"/>
  <c r="C21" i="2"/>
  <c r="C22" i="2" s="1"/>
  <c r="B59" i="9"/>
  <c r="C59" i="9"/>
  <c r="C59" i="10"/>
  <c r="B59" i="10"/>
  <c r="B59" i="13"/>
  <c r="C59" i="13"/>
  <c r="B59" i="11"/>
  <c r="C59" i="11"/>
  <c r="C59" i="5"/>
  <c r="B59" i="5"/>
  <c r="C59" i="2"/>
</calcChain>
</file>

<file path=xl/sharedStrings.xml><?xml version="1.0" encoding="utf-8"?>
<sst xmlns="http://schemas.openxmlformats.org/spreadsheetml/2006/main" count="963" uniqueCount="324">
  <si>
    <t>Glider Name:</t>
  </si>
  <si>
    <t>Date:</t>
  </si>
  <si>
    <t>Liters</t>
  </si>
  <si>
    <t>Target Water</t>
  </si>
  <si>
    <t>Tank Water</t>
  </si>
  <si>
    <t>Weight Change</t>
  </si>
  <si>
    <t>pss</t>
  </si>
  <si>
    <r>
      <t>g/L</t>
    </r>
    <r>
      <rPr>
        <vertAlign val="superscript"/>
        <sz val="10"/>
        <rFont val="Arial"/>
        <family val="2"/>
      </rPr>
      <t>o</t>
    </r>
    <r>
      <rPr>
        <sz val="10"/>
        <rFont val="Arial"/>
        <family val="2"/>
      </rPr>
      <t>C</t>
    </r>
  </si>
  <si>
    <r>
      <t>o</t>
    </r>
    <r>
      <rPr>
        <sz val="10"/>
        <rFont val="Arial"/>
        <family val="2"/>
      </rPr>
      <t>C</t>
    </r>
  </si>
  <si>
    <t>Total Weight Adjustment:</t>
  </si>
  <si>
    <t>grams</t>
  </si>
  <si>
    <t>mm</t>
  </si>
  <si>
    <t>H-distance</t>
  </si>
  <si>
    <t>Pitch Range</t>
  </si>
  <si>
    <t>Degrees</t>
  </si>
  <si>
    <t>s/m</t>
  </si>
  <si>
    <t>2- Record m_pitch and m_battpos</t>
  </si>
  <si>
    <t>4- Record m_pitch and m_battpos</t>
  </si>
  <si>
    <t>kg</t>
  </si>
  <si>
    <t>radians</t>
  </si>
  <si>
    <t>inches</t>
  </si>
  <si>
    <t>Weight of Pitch Battery</t>
  </si>
  <si>
    <t>Pitch_1</t>
  </si>
  <si>
    <t>Battery Position_1</t>
  </si>
  <si>
    <t>Pitch_2</t>
  </si>
  <si>
    <t>Battery Position_2</t>
  </si>
  <si>
    <t>degrees</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</si>
  <si>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</si>
  <si>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</si>
  <si>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</si>
  <si>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</si>
  <si>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</si>
  <si>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</si>
  <si>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</si>
  <si>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</si>
  <si>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</si>
  <si>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</si>
  <si>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</si>
  <si>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</si>
  <si>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</si>
  <si>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</si>
  <si>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</si>
  <si>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</si>
  <si>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</si>
  <si>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Weight Position</t>
  </si>
  <si>
    <t>Forward top</t>
  </si>
  <si>
    <t>Forward bottom</t>
  </si>
  <si>
    <t>Sci fwd bottles</t>
  </si>
  <si>
    <t>Sci fwd disc</t>
  </si>
  <si>
    <t>Sci aft disc</t>
  </si>
  <si>
    <t>Sci aft bottles</t>
  </si>
  <si>
    <t>Weight adjustment</t>
  </si>
  <si>
    <t>Center of Mass adjustment</t>
  </si>
  <si>
    <t>row of first spot</t>
  </si>
  <si>
    <t>row of second spot</t>
  </si>
  <si>
    <t>pos of first spot</t>
  </si>
  <si>
    <t>pos of second spot</t>
  </si>
  <si>
    <t>Weight adjustment section:</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</si>
  <si>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</si>
  <si>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</si>
  <si>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</si>
  <si>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</si>
  <si>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</si>
  <si>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</si>
  <si>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</si>
  <si>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Dist from fwd hull</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</si>
  <si>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</si>
  <si>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</si>
  <si>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</si>
  <si>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</si>
  <si>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</si>
  <si>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</si>
  <si>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</si>
  <si>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</si>
  <si>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</si>
  <si>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</si>
  <si>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</si>
  <si>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</si>
  <si>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</si>
  <si>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unused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</si>
  <si>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</si>
  <si>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</si>
  <si>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</si>
  <si>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</si>
  <si>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</si>
  <si>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</si>
  <si>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</si>
  <si>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</si>
  <si>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</si>
  <si>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</si>
  <si>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Weight</t>
  </si>
  <si>
    <t>If you want to change anything, the password to unprotect the sheet is "glider"</t>
  </si>
  <si>
    <t>Glider Ballast Worksheet</t>
  </si>
  <si>
    <t>TANK WATER:</t>
  </si>
  <si>
    <t>TARGET WATER</t>
  </si>
  <si>
    <t>Payload</t>
  </si>
  <si>
    <t>Final Weight Configuration As Sent to Customer</t>
  </si>
  <si>
    <t>Port Bottle</t>
  </si>
  <si>
    <t>Top FWD</t>
  </si>
  <si>
    <t>Aft Bottle</t>
  </si>
  <si>
    <t>STBD Bottle</t>
  </si>
  <si>
    <t>Bottom FWD</t>
  </si>
  <si>
    <t>Bottom Bottle</t>
  </si>
  <si>
    <t>Top AFT</t>
  </si>
  <si>
    <t>Bottom AFT</t>
  </si>
  <si>
    <t>Sci fwd plates</t>
  </si>
  <si>
    <t>Sci aft plates</t>
  </si>
  <si>
    <t>Nose Weights</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</si>
  <si>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</si>
  <si>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</si>
  <si>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</si>
  <si>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</si>
  <si>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</si>
  <si>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</si>
  <si>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</si>
  <si>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</si>
  <si>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</si>
  <si>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</si>
  <si>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</si>
  <si>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</si>
  <si>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</si>
  <si>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</si>
  <si>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</si>
  <si>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</si>
  <si>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</si>
  <si>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</si>
  <si>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</si>
  <si>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</si>
  <si>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</si>
  <si>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</si>
  <si>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Reference Ballasting Procedure 4095-GBP</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</si>
  <si>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</si>
  <si>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</si>
  <si>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</si>
  <si>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</si>
  <si>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</si>
  <si>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</si>
  <si>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</si>
  <si>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</si>
  <si>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</si>
  <si>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</si>
  <si>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</si>
  <si>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Nose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</si>
  <si>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</si>
  <si>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</si>
  <si>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</si>
  <si>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</si>
  <si>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</si>
  <si>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</si>
  <si>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</si>
  <si>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</si>
  <si>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</si>
  <si>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</si>
  <si>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</si>
  <si>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</si>
  <si>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</si>
  <si>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</si>
  <si>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</si>
  <si>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</si>
  <si>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</si>
  <si>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weight (kg)</t>
  </si>
  <si>
    <t>DVL fwd plates</t>
  </si>
  <si>
    <t>Sci fwd disc(unused)</t>
  </si>
  <si>
    <t>Sci aft disc(unused)</t>
  </si>
  <si>
    <t>N/A</t>
  </si>
  <si>
    <t>G2 Shallow (&lt;=200m)</t>
  </si>
  <si>
    <t>DVL Bay (5.75")</t>
  </si>
  <si>
    <t>Glider Displacements (L)</t>
  </si>
  <si>
    <t>MARK III aft end cap</t>
  </si>
  <si>
    <t>Add-ons 
(check box for each)</t>
  </si>
  <si>
    <t>Mark III Aft End Cap</t>
  </si>
  <si>
    <t>Energy Bay fwd plates</t>
  </si>
  <si>
    <t>Center (unused)</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</si>
  <si>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</si>
  <si>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</si>
  <si>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</si>
  <si>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</si>
  <si>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</si>
  <si>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</si>
  <si>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</si>
  <si>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</si>
  <si>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</si>
  <si>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</si>
  <si>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</si>
  <si>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length of bay (inches)</t>
  </si>
  <si>
    <t>2nd sci bay (G1 deep &amp; G2)</t>
  </si>
  <si>
    <t>1st sci bay (G1 deep &amp; G2)</t>
  </si>
  <si>
    <t xml:space="preserve">  1st           2nd</t>
  </si>
  <si>
    <t>G2 sci/energy bay</t>
  </si>
  <si>
    <t>1st sci bay (G1 shallow)</t>
  </si>
  <si>
    <t>2nd sci bay (G1 shallow)</t>
  </si>
  <si>
    <t>G1 Shallow Science Bay</t>
  </si>
  <si>
    <t>G1 Deep/G2 Science Bay</t>
  </si>
  <si>
    <t>Science/Energy Bay Configuration</t>
  </si>
  <si>
    <t>Sci bay fwd plates</t>
  </si>
  <si>
    <t>Science FWD</t>
  </si>
  <si>
    <t>Science AFT</t>
  </si>
  <si>
    <t>Extended Sci/Energy Bay Configurations</t>
  </si>
  <si>
    <t>Secondary Lithium
Pitch Pack</t>
  </si>
  <si>
    <t>Lithium Aft Pack</t>
  </si>
  <si>
    <t>Lithium Emergency Pack</t>
  </si>
  <si>
    <t>G2 Extended Science/ Energy Bay (14.85")</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</si>
  <si>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</si>
  <si>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</si>
  <si>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</si>
  <si>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</si>
  <si>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</si>
  <si>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</si>
  <si>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ES Shallow (100m)</t>
  </si>
  <si>
    <t>ES Science/Energy Bay (15.75")</t>
  </si>
  <si>
    <t>Revision History</t>
  </si>
  <si>
    <t>REV</t>
  </si>
  <si>
    <t>DESCRIPTION OF CHANGE</t>
  </si>
  <si>
    <t>ECO #</t>
  </si>
  <si>
    <t>DATE</t>
  </si>
  <si>
    <t>Additional Bay FWD</t>
  </si>
  <si>
    <t>Note: This spreadsheet consists of 3 tabs. Complete "Ballast", "Worksheet", and the tab relevant to your particular glider.</t>
  </si>
  <si>
    <t>Configure 2 Drive Weights, Each Weighing (g)</t>
  </si>
  <si>
    <t>Insert Glider-specific Volume Adjustment Here</t>
  </si>
  <si>
    <t>2nd dvl/echosounder/optics bay</t>
  </si>
  <si>
    <t>1st dvl/echosounder/optics bay</t>
  </si>
  <si>
    <t>Pond Wings</t>
  </si>
  <si>
    <t>A</t>
  </si>
  <si>
    <t>B</t>
  </si>
  <si>
    <t>C</t>
  </si>
  <si>
    <t>D</t>
  </si>
  <si>
    <t>Pond Wing Displacements (L)</t>
  </si>
  <si>
    <t>Pinger</t>
  </si>
  <si>
    <t>Pinger Displacement (L)</t>
  </si>
  <si>
    <t>Channel 1</t>
  </si>
  <si>
    <t>Channel 2</t>
  </si>
  <si>
    <t>Channel 3</t>
  </si>
  <si>
    <t>Channel 4</t>
  </si>
  <si>
    <t>FAA-style</t>
  </si>
  <si>
    <t>Extended sci/energy bay</t>
  </si>
  <si>
    <t>Added microrider, SUNA, pond wing, pinger channel, and customizable volumes, edited for clarity, corrected weight position errors in glider tabs</t>
  </si>
  <si>
    <t>Glider dry weight (g):</t>
  </si>
  <si>
    <t>Water temperature:</t>
  </si>
  <si>
    <t>m_de_oil_vol/m_ballast_pumped MAX:</t>
  </si>
  <si>
    <t>m_de_oil_vol/m_ballast_pumped MIN:</t>
  </si>
  <si>
    <t>Buoyancy centre:</t>
  </si>
  <si>
    <t>Predicted buoyancy in target water:</t>
  </si>
  <si>
    <t>cm3</t>
  </si>
  <si>
    <t>g/L</t>
  </si>
  <si>
    <t>Predicted buoyancy in target water (from tank):</t>
  </si>
  <si>
    <t>Glider volume (from tank):</t>
  </si>
  <si>
    <t>Glider dry weight (in air):</t>
  </si>
  <si>
    <t>Glider total weight in water:</t>
  </si>
  <si>
    <t>Ballasting calculations from tank:</t>
  </si>
  <si>
    <t>&lt;-- Positive indicates buoyant.  Post deployment, copy these two predicted values into the 'Previous mission' details of the next trim sheet</t>
  </si>
  <si>
    <t>Previous mission:</t>
  </si>
  <si>
    <t>Water density:</t>
  </si>
  <si>
    <t>Predicted buoyancy from tank values:</t>
  </si>
  <si>
    <t>cc</t>
  </si>
  <si>
    <t>Actual buoyancy:</t>
  </si>
  <si>
    <t>Predicted buoyancy from TWR trim sheet calculations:</t>
  </si>
  <si>
    <t>From C22 of previous trim sheet</t>
  </si>
  <si>
    <t>From I22 of previous trim sheet</t>
  </si>
  <si>
    <t>Compare this to predicted values before ballasting for next mission</t>
  </si>
  <si>
    <t>From dive data</t>
  </si>
  <si>
    <t>Positive indicates glider was too heavy</t>
  </si>
  <si>
    <t>Freewave number:</t>
  </si>
  <si>
    <t>Digifin s/n:</t>
  </si>
  <si>
    <t>Added NOC ballasting calculations to glider-specific tabs, glider dry weight and serial numbers to ballast tab</t>
  </si>
  <si>
    <t>Roll Starboard</t>
  </si>
  <si>
    <t>Roll Port</t>
  </si>
  <si>
    <t>Mean Roll</t>
  </si>
  <si>
    <t>Total weight in water</t>
  </si>
  <si>
    <t>Glider Volume</t>
  </si>
  <si>
    <t>Tank Density</t>
  </si>
  <si>
    <t>Buoyant force in tank water</t>
  </si>
  <si>
    <t>Do not edit these values</t>
  </si>
  <si>
    <t>g/cc</t>
  </si>
  <si>
    <t>1- Attach string to the centre of each wing root</t>
  </si>
  <si>
    <t>2- Suspend the glider by one wing root from a hanging scale</t>
  </si>
  <si>
    <t>3- Adjust c_battpos until m_pitch reads zero</t>
  </si>
  <si>
    <t>4- Leave the glider for 5 minutes to settle, then record m_roll</t>
  </si>
  <si>
    <t>5- Repeat with the other wing</t>
  </si>
  <si>
    <t>6- Input the total glider weight, tank density and glider volume, and both roll measurements to calculate h-moment</t>
  </si>
  <si>
    <t>Altered h-moment roll method calculations to reflect NOC procedures</t>
  </si>
  <si>
    <t>11/19/15</t>
  </si>
  <si>
    <t>Thruster s/n:</t>
  </si>
  <si>
    <t>Argos s/n:</t>
  </si>
  <si>
    <t>Weight change due to thermal expansion (using glider vol from tank):</t>
  </si>
  <si>
    <t>Total weight to add:</t>
  </si>
  <si>
    <t>Ballast Calculator:</t>
  </si>
  <si>
    <t>Flight Record</t>
  </si>
  <si>
    <t>State</t>
  </si>
  <si>
    <t>Drive Ratio</t>
  </si>
  <si>
    <t>Secs into Mission</t>
  </si>
  <si>
    <t>sec</t>
  </si>
  <si>
    <t>squared</t>
  </si>
  <si>
    <t>%</t>
  </si>
  <si>
    <t>Leave Surface</t>
  </si>
  <si>
    <t>Dive</t>
  </si>
  <si>
    <t>Inflection</t>
  </si>
  <si>
    <t>Climb</t>
  </si>
  <si>
    <t>At Surface</t>
  </si>
  <si>
    <t>Total</t>
  </si>
  <si>
    <t>Drive Used:</t>
  </si>
  <si>
    <t>Avg. Water Density</t>
  </si>
  <si>
    <t>Adjustment:</t>
  </si>
  <si>
    <t>grams internal (dry wt.)</t>
  </si>
  <si>
    <t>grams of stainless steel applied externaly (wet wt.)</t>
  </si>
  <si>
    <t>wing rail TWR stainless steel slugs</t>
  </si>
  <si>
    <t>Input:</t>
  </si>
  <si>
    <t>Enter time values from a single yo profile in yellow blocks, and total buoyancy drive used.</t>
  </si>
  <si>
    <t>Output:</t>
  </si>
  <si>
    <t xml:space="preserve">Weight change required to adjust the vehicle in several formats (adjusted for average water density).  </t>
  </si>
  <si>
    <t>Note:</t>
  </si>
  <si>
    <t xml:space="preserve">To increase accuracy, both dive and climb buoyancy drive values and pitch values should be nominally equal. </t>
  </si>
  <si>
    <t>Version Date:</t>
  </si>
  <si>
    <t>Document:</t>
  </si>
  <si>
    <t>Buoyancy from ballast drive:</t>
  </si>
  <si>
    <t>Positive indicates glider was too light</t>
  </si>
  <si>
    <t>NOCv2.0</t>
  </si>
  <si>
    <t>Amended NOC buoyancy prediction calculations</t>
  </si>
  <si>
    <t>Actual average potential water density encountered</t>
  </si>
  <si>
    <t>Actual water temperature encountered at depth corresponding to average potential density</t>
  </si>
  <si>
    <t>631</t>
  </si>
  <si>
    <t>MCB</t>
  </si>
  <si>
    <t>946-0501</t>
  </si>
  <si>
    <t>1794</t>
  </si>
  <si>
    <t>Energy Bay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</si>
</sst>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000"/>
    <numFmt numFmtId="165" formatCode="d\-mmm\-yyyy"/>
    <numFmt numFmtId="166" formatCode="0.0"/>
    <numFmt numFmtId="167" formatCode="0.000"/>
    <numFmt numFmtId="168" formatCode="mm/dd/yy;@"/>
    <numFmt numFmtId="169" formatCode="0.0%"/>
    <numFmt numFmtId="170" formatCode="m/d/yyyy"/>
  </numFmts>
  <fonts count="31"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i/>
      <sz val="10"/>
      <name val="Arial"/>
      <family val="2"/>
    </font>
    <font>
      <sz val="11"/>
      <color indexed="8"/>
      <name val="Calibri"/>
      <family val="2"/>
    </font>
    <font>
      <sz val="10"/>
      <color indexed="8"/>
      <name val="Calibri"/>
      <family val="2"/>
    </font>
    <font>
      <b/>
      <sz val="11"/>
      <color indexed="8"/>
      <name val="Calibri"/>
      <family val="2"/>
    </font>
    <font>
      <b/>
      <sz val="8"/>
      <color theme="1"/>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rgb="FFFFC000"/>
        <bgColor indexed="64"/>
      </patternFill>
    </fill>
    <fill>
      <patternFill patternType="solid">
        <fgColor indexed="13"/>
        <bgColor indexed="34"/>
      </patternFill>
    </fill>
    <fill>
      <patternFill patternType="solid">
        <fgColor indexed="49"/>
        <bgColor indexed="40"/>
      </patternFill>
    </fill>
    <fill>
      <patternFill patternType="solid">
        <fgColor indexed="11"/>
        <bgColor indexed="49"/>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auto="1"/>
      </bottom>
      <diagonal/>
    </border>
    <border>
      <left style="thin">
        <color indexed="64"/>
      </left>
      <right style="thin">
        <color indexed="64"/>
      </right>
      <top style="thick">
        <color indexed="64"/>
      </top>
      <bottom style="thin">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top/>
      <bottom style="thin">
        <color indexed="63"/>
      </bottom>
      <diagonal/>
    </border>
    <border>
      <left style="thin">
        <color indexed="63"/>
      </left>
      <right style="thin">
        <color indexed="63"/>
      </right>
      <top/>
      <bottom style="thin">
        <color indexed="63"/>
      </bottom>
      <diagonal/>
    </border>
    <border>
      <left style="thin">
        <color indexed="63"/>
      </left>
      <right style="thin">
        <color indexed="63"/>
      </right>
      <top style="thin">
        <color indexed="63"/>
      </top>
      <bottom style="thin">
        <color indexed="63"/>
      </bottom>
      <diagonal/>
    </border>
    <border>
      <left/>
      <right/>
      <top/>
      <bottom style="medium">
        <color indexed="63"/>
      </bottom>
      <diagonal/>
    </border>
  </borders>
  <cellStyleXfs count="2">
    <xf numFmtId="0" fontId="0" fillId="0" borderId="0"/>
    <xf numFmtId="0" fontId="27" fillId="0" borderId="0"/>
  </cellStyleXfs>
  <cellXfs count="492">
    <xf numFmtId="0" fontId="0" fillId="0" borderId="0" xfId="0"/>
    <xf numFmtId="0" fontId="0" fillId="0" borderId="0" xfId="0" applyBorder="1" applyProtection="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Alignment="1" applyProtection="1">
      <alignment horizontal="center"/>
    </xf>
    <xf numFmtId="0" fontId="0" fillId="0" borderId="0" xfId="0" applyFill="1" applyBorder="1" applyProtection="1"/>
    <xf numFmtId="0" fontId="0" fillId="0" borderId="0" xfId="0" applyBorder="1" applyProtection="1"/>
    <xf numFmtId="0" fontId="2" fillId="0" borderId="0" xfId="0" applyFont="1" applyAlignment="1" applyProtection="1">
      <alignment horizontal="center"/>
    </xf>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0" fillId="0" borderId="0" xfId="0" applyAlignment="1" applyProtection="1">
      <alignment wrapText="1" shrinkToFi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4" fillId="2" borderId="9" xfId="0" applyNumberFormat="1" applyFont="1" applyFill="1" applyBorder="1" applyProtection="1">
      <protection locked="0"/>
    </xf>
    <xf numFmtId="164" fontId="7" fillId="0" borderId="9" xfId="0" applyNumberFormat="1" applyFont="1" applyBorder="1" applyAlignment="1" applyProtection="1">
      <alignment horizontal="right"/>
      <protection locked="0"/>
    </xf>
    <xf numFmtId="164" fontId="7" fillId="0" borderId="10" xfId="0" applyNumberFormat="1" applyFont="1" applyBorder="1" applyProtection="1">
      <protection locked="0"/>
    </xf>
    <xf numFmtId="164" fontId="7" fillId="0" borderId="9" xfId="0" applyNumberFormat="1" applyFont="1" applyBorder="1" applyProtection="1">
      <protection locked="0"/>
    </xf>
    <xf numFmtId="164" fontId="7" fillId="4" borderId="9" xfId="0" applyNumberFormat="1" applyFont="1" applyFill="1" applyBorder="1" applyProtection="1">
      <protection locked="0"/>
    </xf>
    <xf numFmtId="164" fontId="7" fillId="0" borderId="20" xfId="0" applyNumberFormat="1" applyFont="1" applyBorder="1" applyProtection="1">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9" fillId="0" borderId="0" xfId="0" applyFont="1" applyAlignment="1" applyProtection="1">
      <alignment horizontal="left"/>
    </xf>
    <xf numFmtId="0" fontId="10" fillId="0" borderId="0" xfId="0" applyFont="1" applyFill="1" applyBorder="1" applyAlignment="1" applyProtection="1">
      <alignment horizontal="left"/>
    </xf>
    <xf numFmtId="0" fontId="9" fillId="0" borderId="0" xfId="0" applyFont="1" applyFill="1" applyBorder="1" applyProtection="1"/>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2" fillId="0" borderId="26" xfId="0" applyFont="1" applyFill="1" applyBorder="1" applyAlignment="1" applyProtection="1">
      <alignment horizontal="center"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10" xfId="0" applyNumberFormat="1" applyBorder="1" applyAlignment="1" applyProtection="1">
      <alignment horizontal="center"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1" fillId="0" borderId="0" xfId="0" applyFont="1" applyAlignment="1" applyProtection="1">
      <alignment horizontal="center"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Fill="1" applyBorder="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164" fontId="0" fillId="2" borderId="10" xfId="0" applyNumberFormat="1" applyFill="1" applyBorder="1"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2" fillId="0" borderId="16" xfId="0" applyFont="1" applyBorder="1" applyAlignment="1" applyProtection="1">
      <alignment horizontal="center" vertical="center"/>
    </xf>
    <xf numFmtId="0" fontId="1" fillId="0" borderId="28" xfId="0" applyFont="1" applyBorder="1" applyAlignment="1" applyProtection="1">
      <alignmen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30" xfId="0" applyFont="1" applyBorder="1" applyAlignment="1">
      <alignment horizontal="right" vertical="center" wrapText="1"/>
    </xf>
    <xf numFmtId="0" fontId="1" fillId="0" borderId="31" xfId="0" applyFont="1" applyBorder="1" applyAlignment="1">
      <alignment horizontal="right" vertical="center" wrapText="1"/>
    </xf>
    <xf numFmtId="0" fontId="2" fillId="0" borderId="23" xfId="0" applyFont="1" applyBorder="1" applyAlignment="1">
      <alignment horizontal="right" vertical="center" wrapText="1"/>
    </xf>
    <xf numFmtId="0" fontId="1" fillId="0" borderId="32" xfId="0" applyFont="1" applyBorder="1" applyAlignment="1">
      <alignment horizontal="right" vertical="center" wrapText="1"/>
    </xf>
    <xf numFmtId="14" fontId="1" fillId="0" borderId="32"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3" xfId="0" applyFont="1" applyBorder="1" applyAlignment="1">
      <alignment horizontal="right" vertical="center" wrapText="1"/>
    </xf>
    <xf numFmtId="0" fontId="0" fillId="0" borderId="29"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30"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2" xfId="0" applyFont="1" applyBorder="1" applyAlignment="1" applyProtection="1">
      <alignment horizontal="right" vertical="center" wrapText="1"/>
    </xf>
    <xf numFmtId="14" fontId="21" fillId="0" borderId="32"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3"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0" fillId="0" borderId="4" xfId="0" applyBorder="1" applyProtection="1">
      <protection locked="0"/>
    </xf>
    <xf numFmtId="166" fontId="0" fillId="0" borderId="9" xfId="0" applyNumberFormat="1" applyFill="1"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164" fontId="0" fillId="0" borderId="10" xfId="0" applyNumberFormat="1" applyBorder="1" applyProtection="1">
      <protection locked="0"/>
    </xf>
    <xf numFmtId="164" fontId="0" fillId="0" borderId="20" xfId="0" applyNumberForma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0" xfId="0" applyBorder="1" applyAlignment="1" applyProtection="1">
      <alignment horizontal="left"/>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 fillId="0" borderId="0" xfId="0" applyFont="1" applyProtection="1"/>
    <xf numFmtId="0" fontId="21" fillId="0" borderId="27" xfId="0" applyFont="1" applyBorder="1" applyAlignment="1" applyProtection="1">
      <alignment vertical="center"/>
    </xf>
    <xf numFmtId="165" fontId="0" fillId="2" borderId="9" xfId="0" applyNumberFormat="1" applyFill="1" applyBorder="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0" fontId="0" fillId="0" borderId="0" xfId="0" applyAlignment="1" applyProtection="1">
      <alignment horizontal="center" vertical="center"/>
    </xf>
    <xf numFmtId="164" fontId="1" fillId="2" borderId="9" xfId="0" applyNumberFormat="1" applyFont="1" applyFill="1" applyBorder="1" applyProtection="1">
      <protection locked="0"/>
    </xf>
    <xf numFmtId="164" fontId="7" fillId="0" borderId="9" xfId="0" applyNumberFormat="1" applyFont="1" applyFill="1" applyBorder="1" applyProtection="1">
      <protection locked="0"/>
    </xf>
    <xf numFmtId="0" fontId="0" fillId="0" borderId="0" xfId="0" applyAlignment="1" applyProtection="1">
      <alignment horizontal="center" vertical="center"/>
    </xf>
    <xf numFmtId="0" fontId="20" fillId="0" borderId="36"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164" fontId="7" fillId="5" borderId="9" xfId="0" applyNumberFormat="1" applyFont="1" applyFill="1" applyBorder="1" applyProtection="1">
      <protection locked="0"/>
    </xf>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Border="1" applyAlignment="1" applyProtection="1">
      <alignment horizontal="right"/>
    </xf>
    <xf numFmtId="14" fontId="0" fillId="0" borderId="0" xfId="0" applyNumberFormat="1" applyBorder="1" applyProtection="1"/>
    <xf numFmtId="0" fontId="2" fillId="0" borderId="0" xfId="0" applyFont="1" applyBorder="1" applyAlignment="1" applyProtection="1">
      <alignment horizontal="center"/>
    </xf>
    <xf numFmtId="0" fontId="0" fillId="6" borderId="9" xfId="0" applyFill="1" applyBorder="1" applyAlignment="1" applyProtection="1">
      <alignment vertical="center"/>
      <protection locked="0"/>
    </xf>
    <xf numFmtId="0" fontId="0" fillId="6" borderId="9" xfId="0" applyFill="1" applyBorder="1" applyAlignment="1" applyProtection="1">
      <alignment horizontal="center"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49" fontId="0" fillId="0" borderId="0" xfId="0" applyNumberFormat="1" applyProtection="1"/>
    <xf numFmtId="0" fontId="1" fillId="0" borderId="3" xfId="0" applyNumberFormat="1" applyFont="1" applyBorder="1" applyAlignment="1" applyProtection="1">
      <alignment horizontal="center" vertical="center"/>
    </xf>
    <xf numFmtId="14" fontId="1" fillId="0" borderId="8" xfId="0" applyNumberFormat="1" applyFont="1" applyBorder="1" applyAlignment="1" applyProtection="1">
      <alignment horizontal="center" vertical="center"/>
    </xf>
    <xf numFmtId="14" fontId="1" fillId="2" borderId="9" xfId="0" applyNumberFormat="1" applyFont="1" applyFill="1" applyBorder="1" applyAlignment="1" applyProtection="1">
      <alignment horizontal="center" vertical="center"/>
      <protection locked="0"/>
    </xf>
    <xf numFmtId="0" fontId="2" fillId="0" borderId="26" xfId="0" applyFont="1" applyBorder="1" applyAlignment="1" applyProtection="1">
      <alignment horizontal="center" vertical="center"/>
    </xf>
    <xf numFmtId="165" fontId="1" fillId="2" borderId="9" xfId="0" applyNumberFormat="1" applyFont="1" applyFill="1" applyBorder="1" applyAlignment="1" applyProtection="1">
      <alignment horizontal="left" vertical="center"/>
    </xf>
    <xf numFmtId="2" fontId="0" fillId="0" borderId="9" xfId="0" applyNumberFormat="1" applyFill="1" applyBorder="1" applyAlignment="1" applyProtection="1">
      <alignment horizontal="center" vertical="center"/>
    </xf>
    <xf numFmtId="2" fontId="1" fillId="0" borderId="9" xfId="0" quotePrefix="1" applyNumberFormat="1" applyFont="1" applyFill="1" applyBorder="1" applyAlignment="1" applyProtection="1">
      <alignment horizontal="center" vertical="center"/>
    </xf>
    <xf numFmtId="0" fontId="0" fillId="6" borderId="9" xfId="0" applyFill="1" applyBorder="1" applyAlignment="1" applyProtection="1">
      <alignment horizontal="center" vertical="center"/>
      <protection locked="0"/>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38" xfId="0" applyBorder="1" applyAlignment="1" applyProtection="1">
      <alignment vertical="center"/>
    </xf>
    <xf numFmtId="0" fontId="5" fillId="0" borderId="38" xfId="0" applyFont="1" applyBorder="1" applyAlignment="1" applyProtection="1">
      <alignment vertical="center"/>
    </xf>
    <xf numFmtId="0" fontId="0" fillId="0" borderId="38" xfId="0" applyBorder="1" applyProtection="1"/>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2" fillId="0" borderId="16" xfId="0" applyFont="1" applyBorder="1" applyAlignment="1" applyProtection="1">
      <alignment horizontal="center" vertical="center" wrapText="1"/>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40" xfId="0" applyBorder="1" applyProtection="1"/>
    <xf numFmtId="0" fontId="0" fillId="0" borderId="41" xfId="0" applyBorder="1" applyProtection="1">
      <protection locked="0"/>
    </xf>
    <xf numFmtId="0" fontId="0" fillId="0" borderId="21" xfId="0" applyBorder="1" applyProtection="1">
      <protection locked="0"/>
    </xf>
    <xf numFmtId="0" fontId="0" fillId="0" borderId="19" xfId="0" applyBorder="1" applyProtection="1">
      <protection locked="0"/>
    </xf>
    <xf numFmtId="0" fontId="1" fillId="0" borderId="0" xfId="0" applyFont="1"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6" xfId="0" applyFont="1" applyBorder="1" applyAlignment="1" applyProtection="1">
      <alignment horizontal="center" vertical="center" textRotation="90" wrapText="1"/>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2" fontId="22" fillId="0" borderId="0" xfId="0" applyNumberFormat="1" applyFont="1" applyBorder="1" applyAlignment="1" applyProtection="1">
      <alignment horizontal="left" vertical="center"/>
    </xf>
    <xf numFmtId="2" fontId="22" fillId="0" borderId="0" xfId="0" applyNumberFormat="1" applyFont="1" applyBorder="1" applyAlignment="1" applyProtection="1">
      <alignment horizontal="center" vertical="center"/>
    </xf>
    <xf numFmtId="0" fontId="5" fillId="0" borderId="30" xfId="0" applyFont="1" applyBorder="1" applyAlignment="1" applyProtection="1">
      <alignment horizontal="center" vertical="center"/>
    </xf>
    <xf numFmtId="0" fontId="5" fillId="0" borderId="42" xfId="0" applyFont="1" applyBorder="1" applyAlignment="1" applyProtection="1">
      <alignment horizontal="center" vertical="center"/>
    </xf>
    <xf numFmtId="0" fontId="5" fillId="0" borderId="31"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left" vertical="center"/>
    </xf>
    <xf numFmtId="0" fontId="21" fillId="0" borderId="9" xfId="0" applyFont="1" applyBorder="1" applyAlignment="1" applyProtection="1">
      <alignment horizontal="center" vertical="center"/>
    </xf>
    <xf numFmtId="168" fontId="21" fillId="0" borderId="32" xfId="0" applyNumberFormat="1" applyFont="1" applyBorder="1" applyAlignment="1" applyProtection="1">
      <alignment horizontal="center" vertical="center"/>
    </xf>
    <xf numFmtId="0" fontId="21" fillId="0" borderId="32" xfId="0"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3" xfId="0" applyFont="1" applyBorder="1" applyAlignment="1" applyProtection="1">
      <alignment horizontal="center" vertical="center"/>
    </xf>
    <xf numFmtId="0" fontId="20" fillId="0" borderId="37" xfId="0" applyFont="1" applyFill="1" applyBorder="1" applyAlignment="1" applyProtection="1">
      <alignment horizontal="right" vertical="center" wrapText="1"/>
      <protection locked="0"/>
    </xf>
    <xf numFmtId="165" fontId="0" fillId="2" borderId="9" xfId="0" applyNumberFormat="1" applyFill="1" applyBorder="1" applyAlignment="1" applyProtection="1">
      <alignment horizontal="center" vertical="center"/>
      <protection locked="0"/>
    </xf>
    <xf numFmtId="0" fontId="2" fillId="0" borderId="4" xfId="0" applyFont="1" applyBorder="1" applyAlignment="1" applyProtection="1">
      <alignment horizontal="center" vertical="center" textRotation="90" wrapText="1"/>
    </xf>
    <xf numFmtId="0" fontId="0" fillId="0" borderId="9" xfId="0" applyBorder="1" applyAlignment="1">
      <alignment horizontal="center" vertical="center"/>
    </xf>
    <xf numFmtId="0" fontId="0" fillId="0" borderId="9" xfId="0" applyBorder="1" applyAlignment="1">
      <alignment vertical="center"/>
    </xf>
    <xf numFmtId="0" fontId="2" fillId="0" borderId="16" xfId="0" applyFont="1"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vertical="center"/>
    </xf>
    <xf numFmtId="0" fontId="1" fillId="0" borderId="28" xfId="0" applyFont="1"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2" fillId="0" borderId="0" xfId="0" applyFont="1" applyAlignment="1" applyProtection="1">
      <alignment horizontal="right" vertical="center"/>
    </xf>
    <xf numFmtId="0" fontId="0" fillId="0" borderId="0" xfId="0" applyAlignment="1" applyProtection="1">
      <alignment vertical="top"/>
    </xf>
    <xf numFmtId="0" fontId="0" fillId="0" borderId="0" xfId="0" applyBorder="1" applyAlignment="1" applyProtection="1">
      <alignment vertical="top"/>
    </xf>
    <xf numFmtId="0" fontId="1" fillId="0" borderId="13" xfId="0" applyFont="1" applyBorder="1" applyAlignment="1" applyProtection="1">
      <alignment horizontal="right"/>
    </xf>
    <xf numFmtId="0" fontId="1" fillId="0" borderId="5" xfId="0" applyFont="1" applyBorder="1" applyProtection="1"/>
    <xf numFmtId="0" fontId="0" fillId="0" borderId="43" xfId="0" applyBorder="1" applyProtection="1"/>
    <xf numFmtId="0" fontId="0" fillId="0" borderId="0" xfId="0" applyBorder="1" applyAlignment="1" applyProtection="1"/>
    <xf numFmtId="0" fontId="1" fillId="0" borderId="0" xfId="0" applyFont="1" applyFill="1" applyBorder="1" applyAlignment="1" applyProtection="1"/>
    <xf numFmtId="0" fontId="0" fillId="0" borderId="0" xfId="0" applyFont="1" applyFill="1" applyBorder="1" applyAlignment="1" applyProtection="1"/>
    <xf numFmtId="0" fontId="0" fillId="0" borderId="7" xfId="0" applyBorder="1" applyProtection="1"/>
    <xf numFmtId="0" fontId="0" fillId="0" borderId="7" xfId="0" applyBorder="1" applyAlignment="1" applyProtection="1">
      <alignment vertical="top"/>
    </xf>
    <xf numFmtId="0" fontId="0" fillId="0" borderId="0" xfId="0" applyAlignment="1"/>
    <xf numFmtId="0" fontId="9" fillId="0" borderId="0" xfId="0" applyFont="1" applyAlignment="1" applyProtection="1">
      <alignment vertical="top"/>
    </xf>
    <xf numFmtId="166" fontId="2" fillId="0" borderId="0" xfId="0" applyNumberFormat="1" applyFont="1" applyAlignment="1" applyProtection="1">
      <alignment vertical="top"/>
    </xf>
    <xf numFmtId="0" fontId="0" fillId="0" borderId="0" xfId="0" applyBorder="1" applyAlignment="1" applyProtection="1">
      <alignment vertical="top"/>
      <protection hidden="1"/>
    </xf>
    <xf numFmtId="0" fontId="0" fillId="0" borderId="0" xfId="0" applyAlignment="1" applyProtection="1">
      <alignment vertical="top"/>
      <protection hidden="1"/>
    </xf>
    <xf numFmtId="0" fontId="0" fillId="0" borderId="0" xfId="0" applyFill="1" applyBorder="1" applyAlignment="1" applyProtection="1">
      <alignment vertical="top" textRotation="69"/>
      <protection hidden="1"/>
    </xf>
    <xf numFmtId="166" fontId="0" fillId="0" borderId="0" xfId="0" applyNumberFormat="1" applyFill="1" applyBorder="1" applyAlignment="1" applyProtection="1">
      <alignment vertical="top"/>
      <protection hidden="1"/>
    </xf>
    <xf numFmtId="0" fontId="0" fillId="0" borderId="0" xfId="0" applyFill="1" applyBorder="1" applyAlignment="1" applyProtection="1">
      <alignment vertical="top"/>
    </xf>
    <xf numFmtId="0" fontId="0" fillId="0" borderId="0" xfId="0" applyFill="1" applyBorder="1" applyAlignment="1" applyProtection="1">
      <alignment vertical="top" shrinkToFit="1"/>
    </xf>
    <xf numFmtId="0" fontId="0" fillId="0" borderId="0" xfId="0" applyAlignment="1" applyProtection="1">
      <alignment vertical="top" shrinkToFit="1"/>
    </xf>
    <xf numFmtId="0" fontId="0" fillId="0" borderId="0" xfId="0" applyBorder="1" applyAlignment="1" applyProtection="1">
      <protection hidden="1"/>
    </xf>
    <xf numFmtId="0" fontId="0" fillId="0" borderId="0" xfId="0" applyAlignment="1" applyProtection="1">
      <protection hidden="1"/>
    </xf>
    <xf numFmtId="166" fontId="0" fillId="0" borderId="0" xfId="0" applyNumberFormat="1" applyFill="1" applyBorder="1" applyAlignment="1" applyProtection="1">
      <protection hidden="1"/>
    </xf>
    <xf numFmtId="0" fontId="0" fillId="0" borderId="0" xfId="0" applyFill="1" applyBorder="1" applyAlignment="1" applyProtection="1"/>
    <xf numFmtId="0" fontId="1" fillId="0" borderId="0" xfId="0" applyFont="1" applyAlignment="1" applyProtection="1">
      <alignment vertical="top"/>
    </xf>
    <xf numFmtId="0" fontId="0" fillId="0" borderId="17" xfId="0" applyFill="1" applyBorder="1" applyAlignment="1" applyProtection="1">
      <alignment horizontal="center"/>
    </xf>
    <xf numFmtId="166" fontId="0" fillId="0" borderId="17" xfId="0" applyNumberFormat="1" applyBorder="1" applyAlignment="1" applyProtection="1">
      <alignment horizontal="center"/>
    </xf>
    <xf numFmtId="0" fontId="1" fillId="0" borderId="7" xfId="0" applyFont="1" applyBorder="1" applyAlignment="1" applyProtection="1">
      <alignment horizontal="right"/>
      <protection locked="0"/>
    </xf>
    <xf numFmtId="166" fontId="0" fillId="8" borderId="7" xfId="0" applyNumberFormat="1" applyFill="1" applyBorder="1" applyProtection="1">
      <protection locked="0"/>
    </xf>
    <xf numFmtId="0" fontId="1" fillId="0" borderId="8" xfId="0" applyFont="1" applyBorder="1" applyProtection="1">
      <protection locked="0"/>
    </xf>
    <xf numFmtId="0" fontId="9" fillId="0" borderId="4" xfId="0" applyFont="1" applyBorder="1" applyProtection="1">
      <protection locked="0"/>
    </xf>
    <xf numFmtId="0" fontId="1" fillId="0" borderId="0" xfId="0" applyFont="1" applyBorder="1" applyAlignment="1" applyProtection="1">
      <alignment horizontal="right"/>
    </xf>
    <xf numFmtId="0" fontId="1" fillId="0" borderId="7" xfId="0" applyFont="1" applyBorder="1" applyAlignment="1" applyProtection="1">
      <alignment horizontal="right"/>
    </xf>
    <xf numFmtId="0" fontId="1" fillId="0" borderId="8" xfId="0" applyFont="1" applyBorder="1" applyProtection="1"/>
    <xf numFmtId="0" fontId="2" fillId="0" borderId="44" xfId="0" applyFont="1" applyBorder="1" applyProtection="1"/>
    <xf numFmtId="0" fontId="0" fillId="0" borderId="45" xfId="0" applyBorder="1" applyAlignment="1" applyProtection="1">
      <alignment vertical="top"/>
    </xf>
    <xf numFmtId="0" fontId="0" fillId="0" borderId="45" xfId="0" applyBorder="1" applyProtection="1"/>
    <xf numFmtId="0" fontId="0" fillId="0" borderId="45" xfId="0" applyBorder="1" applyAlignment="1" applyProtection="1">
      <alignment horizontal="right"/>
    </xf>
    <xf numFmtId="0" fontId="0" fillId="0" borderId="46" xfId="0" applyBorder="1" applyProtection="1"/>
    <xf numFmtId="0" fontId="0" fillId="8" borderId="9" xfId="0" applyFill="1" applyBorder="1" applyProtection="1"/>
    <xf numFmtId="0" fontId="26" fillId="0" borderId="0" xfId="0" applyFont="1" applyBorder="1" applyProtection="1"/>
    <xf numFmtId="0" fontId="0" fillId="8" borderId="20" xfId="0" applyFill="1" applyBorder="1" applyProtection="1"/>
    <xf numFmtId="0" fontId="0" fillId="0" borderId="4" xfId="0" applyBorder="1"/>
    <xf numFmtId="0" fontId="0" fillId="0" borderId="43" xfId="0" applyBorder="1" applyAlignment="1" applyProtection="1">
      <alignment vertical="top"/>
    </xf>
    <xf numFmtId="0" fontId="1" fillId="0" borderId="12" xfId="0" applyFont="1" applyBorder="1" applyAlignment="1" applyProtection="1">
      <alignment horizontal="right"/>
    </xf>
    <xf numFmtId="0" fontId="0" fillId="0" borderId="45" xfId="0" applyBorder="1"/>
    <xf numFmtId="0" fontId="0" fillId="0" borderId="46" xfId="0" applyBorder="1"/>
    <xf numFmtId="0" fontId="0" fillId="0" borderId="11" xfId="0" applyBorder="1"/>
    <xf numFmtId="0" fontId="0" fillId="0" borderId="20" xfId="0" applyBorder="1" applyProtection="1"/>
    <xf numFmtId="0" fontId="1" fillId="0" borderId="37" xfId="0" applyFont="1" applyBorder="1" applyAlignment="1" applyProtection="1">
      <alignment horizontal="right"/>
    </xf>
    <xf numFmtId="0" fontId="2" fillId="0" borderId="44" xfId="0" applyFont="1" applyBorder="1"/>
    <xf numFmtId="0" fontId="26" fillId="0" borderId="0" xfId="0" applyFont="1"/>
    <xf numFmtId="0" fontId="26" fillId="0" borderId="0" xfId="0" applyFont="1" applyProtection="1"/>
    <xf numFmtId="0" fontId="0" fillId="6" borderId="9" xfId="0" applyFill="1" applyBorder="1" applyProtection="1"/>
    <xf numFmtId="166" fontId="0" fillId="0" borderId="9" xfId="0" applyNumberFormat="1" applyBorder="1" applyProtection="1"/>
    <xf numFmtId="0" fontId="18" fillId="0" borderId="0" xfId="0" quotePrefix="1" applyFont="1" applyAlignment="1" applyProtection="1">
      <alignment horizontal="right" vertical="center"/>
    </xf>
    <xf numFmtId="0" fontId="17" fillId="6" borderId="0" xfId="0" applyFont="1" applyFill="1" applyAlignment="1" applyProtection="1">
      <alignment horizontal="right" vertical="center"/>
    </xf>
    <xf numFmtId="0" fontId="17" fillId="6" borderId="0" xfId="0" applyFont="1" applyFill="1" applyAlignment="1" applyProtection="1">
      <alignment vertical="center"/>
    </xf>
    <xf numFmtId="0" fontId="2" fillId="0" borderId="0" xfId="0" applyFont="1" applyFill="1" applyBorder="1" applyAlignment="1" applyProtection="1">
      <alignment vertical="top"/>
    </xf>
    <xf numFmtId="0" fontId="26" fillId="0" borderId="0" xfId="0" applyFont="1" applyFill="1" applyBorder="1" applyAlignment="1" applyProtection="1"/>
    <xf numFmtId="2" fontId="0" fillId="0" borderId="9" xfId="0" applyNumberFormat="1" applyFill="1" applyBorder="1" applyAlignment="1" applyProtection="1">
      <alignment horizontal="right" vertical="center"/>
      <protection locked="0"/>
    </xf>
    <xf numFmtId="164" fontId="0" fillId="0" borderId="9" xfId="0" applyNumberFormat="1" applyBorder="1" applyAlignment="1" applyProtection="1">
      <alignment horizontal="right" vertical="center"/>
      <protection locked="0"/>
    </xf>
    <xf numFmtId="0" fontId="1" fillId="0" borderId="0" xfId="0" applyFont="1" applyAlignment="1" applyProtection="1">
      <alignment horizontal="right" vertical="center"/>
    </xf>
    <xf numFmtId="0" fontId="1" fillId="0" borderId="0" xfId="0" applyFont="1" applyAlignment="1" applyProtection="1">
      <alignment vertical="center" wrapText="1"/>
    </xf>
    <xf numFmtId="0" fontId="0" fillId="0" borderId="34" xfId="0" applyFill="1" applyBorder="1" applyAlignment="1" applyProtection="1">
      <alignment vertical="top"/>
    </xf>
    <xf numFmtId="0" fontId="0" fillId="0" borderId="47" xfId="0" applyFill="1" applyBorder="1" applyProtection="1"/>
    <xf numFmtId="0" fontId="0" fillId="0" borderId="47" xfId="0" applyBorder="1" applyProtection="1"/>
    <xf numFmtId="0" fontId="26" fillId="0" borderId="9" xfId="0" applyFont="1" applyFill="1" applyBorder="1" applyAlignment="1" applyProtection="1"/>
    <xf numFmtId="0" fontId="1" fillId="0" borderId="35" xfId="0" applyFont="1" applyFill="1" applyBorder="1" applyAlignment="1" applyProtection="1">
      <alignment horizontal="right"/>
    </xf>
    <xf numFmtId="166" fontId="0" fillId="3" borderId="9" xfId="0" applyNumberFormat="1" applyFill="1" applyBorder="1" applyAlignment="1" applyProtection="1">
      <alignment horizontal="right" vertical="center"/>
    </xf>
    <xf numFmtId="0" fontId="27" fillId="0" borderId="0" xfId="1"/>
    <xf numFmtId="0" fontId="27" fillId="0" borderId="0" xfId="1" applyFont="1" applyAlignment="1">
      <alignment horizontal="right"/>
    </xf>
    <xf numFmtId="0" fontId="27" fillId="0" borderId="0" xfId="1" applyFont="1" applyAlignment="1">
      <alignment horizontal="center"/>
    </xf>
    <xf numFmtId="0" fontId="28" fillId="0" borderId="48" xfId="1" applyFont="1" applyBorder="1" applyAlignment="1">
      <alignment horizontal="right"/>
    </xf>
    <xf numFmtId="0" fontId="27" fillId="0" borderId="48" xfId="1" applyBorder="1"/>
    <xf numFmtId="0" fontId="27" fillId="9" borderId="49" xfId="1" applyFill="1" applyBorder="1"/>
    <xf numFmtId="0" fontId="28" fillId="0" borderId="0" xfId="1" applyFont="1"/>
    <xf numFmtId="167" fontId="27" fillId="0" borderId="0" xfId="1" applyNumberFormat="1"/>
    <xf numFmtId="169" fontId="27" fillId="0" borderId="0" xfId="1" applyNumberFormat="1"/>
    <xf numFmtId="0" fontId="27" fillId="9" borderId="50" xfId="1" applyFill="1" applyBorder="1"/>
    <xf numFmtId="0" fontId="27" fillId="0" borderId="51" xfId="1" applyFont="1" applyBorder="1" applyAlignment="1">
      <alignment horizontal="center"/>
    </xf>
    <xf numFmtId="0" fontId="27" fillId="0" borderId="51" xfId="1" applyBorder="1"/>
    <xf numFmtId="167" fontId="27" fillId="0" borderId="51" xfId="1" applyNumberFormat="1" applyBorder="1"/>
    <xf numFmtId="0" fontId="27" fillId="0" borderId="0" xfId="1" applyFill="1"/>
    <xf numFmtId="0" fontId="27" fillId="0" borderId="0" xfId="1" applyFont="1" applyBorder="1" applyAlignment="1">
      <alignment horizontal="right"/>
    </xf>
    <xf numFmtId="0" fontId="27" fillId="0" borderId="0" xfId="1" applyFill="1" applyBorder="1" applyAlignment="1">
      <alignment horizontal="right"/>
    </xf>
    <xf numFmtId="1" fontId="27" fillId="10" borderId="50" xfId="1" applyNumberFormat="1" applyFill="1" applyBorder="1"/>
    <xf numFmtId="0" fontId="29" fillId="9" borderId="50" xfId="1" applyFont="1" applyFill="1" applyBorder="1" applyAlignment="1">
      <alignment horizontal="right"/>
    </xf>
    <xf numFmtId="0" fontId="29" fillId="10" borderId="50" xfId="1" applyFont="1" applyFill="1" applyBorder="1" applyAlignment="1">
      <alignment horizontal="right"/>
    </xf>
    <xf numFmtId="0" fontId="27" fillId="11" borderId="50" xfId="1" applyFont="1" applyFill="1" applyBorder="1" applyAlignment="1">
      <alignment horizontal="right"/>
    </xf>
    <xf numFmtId="170" fontId="27" fillId="0" borderId="0" xfId="1" applyNumberFormat="1"/>
    <xf numFmtId="1" fontId="0" fillId="0" borderId="9" xfId="0" applyNumberFormat="1" applyBorder="1" applyProtection="1"/>
    <xf numFmtId="0" fontId="2" fillId="0" borderId="37" xfId="0" applyFont="1" applyBorder="1" applyAlignment="1" applyProtection="1">
      <alignment horizontal="right"/>
    </xf>
    <xf numFmtId="1" fontId="2" fillId="0" borderId="20" xfId="0" applyNumberFormat="1" applyFont="1" applyBorder="1" applyProtection="1"/>
    <xf numFmtId="14" fontId="21" fillId="0" borderId="32" xfId="0" applyNumberFormat="1" applyFont="1" applyBorder="1" applyAlignment="1" applyProtection="1">
      <alignment horizontal="center" vertical="center"/>
    </xf>
    <xf numFmtId="0" fontId="30" fillId="0" borderId="0" xfId="0" applyFont="1" applyAlignment="1">
      <alignment horizontal="center"/>
    </xf>
    <xf numFmtId="49" fontId="30" fillId="0" borderId="0" xfId="0" applyNumberFormat="1" applyFont="1" applyAlignment="1">
      <alignment horizont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2" fillId="0" borderId="0" xfId="0" applyFont="1" applyFill="1" applyBorder="1" applyAlignment="1" applyProtection="1">
      <alignment horizontal="left" vertical="center"/>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1" fillId="0" borderId="9" xfId="0" applyFont="1" applyBorder="1" applyAlignment="1" applyProtection="1">
      <alignment horizontal="center" vertical="center"/>
    </xf>
    <xf numFmtId="0" fontId="2" fillId="0" borderId="13" xfId="0" applyFont="1" applyBorder="1" applyAlignment="1" applyProtection="1">
      <alignment horizontal="right" vertical="center"/>
    </xf>
    <xf numFmtId="0" fontId="2" fillId="0" borderId="17" xfId="0" applyFont="1" applyBorder="1" applyAlignment="1" applyProtection="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2" fillId="0" borderId="13" xfId="0" applyFont="1" applyFill="1" applyBorder="1" applyAlignment="1" applyProtection="1">
      <alignment horizontal="left" vertical="center"/>
    </xf>
    <xf numFmtId="0" fontId="1" fillId="0" borderId="0" xfId="0" applyFont="1" applyAlignment="1" applyProtection="1">
      <alignment horizontal="left" vertical="center"/>
    </xf>
    <xf numFmtId="0" fontId="0" fillId="0" borderId="0" xfId="0" applyAlignment="1" applyProtection="1">
      <alignment horizontal="lef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Alignment="1" applyProtection="1">
      <alignment horizontal="right" vertical="center"/>
    </xf>
    <xf numFmtId="0" fontId="2" fillId="0" borderId="0" xfId="0" applyFont="1" applyAlignment="1" applyProtection="1">
      <alignment horizontal="right" vertical="center" wrapText="1"/>
    </xf>
    <xf numFmtId="0" fontId="2" fillId="0" borderId="13" xfId="0" applyFont="1" applyBorder="1" applyAlignment="1" applyProtection="1">
      <alignment horizontal="right" vertical="center" wrapText="1"/>
    </xf>
    <xf numFmtId="0" fontId="0" fillId="0" borderId="0" xfId="0" applyAlignment="1" applyProtection="1">
      <alignment horizontal="right" vertical="center"/>
    </xf>
    <xf numFmtId="0" fontId="2" fillId="0" borderId="0" xfId="0" applyFont="1" applyBorder="1" applyAlignment="1" applyProtection="1">
      <alignment horizontal="right" vertical="center" wrapText="1"/>
    </xf>
    <xf numFmtId="0" fontId="1" fillId="6" borderId="34" xfId="0" applyFont="1" applyFill="1" applyBorder="1" applyAlignment="1" applyProtection="1">
      <alignment horizontal="center" vertical="center"/>
      <protection locked="0"/>
    </xf>
    <xf numFmtId="0" fontId="0" fillId="6" borderId="35" xfId="0" applyFill="1" applyBorder="1" applyAlignment="1" applyProtection="1">
      <alignment horizontal="center" vertical="center"/>
      <protection locked="0"/>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29" xfId="0" applyFont="1" applyBorder="1" applyAlignment="1" applyProtection="1">
      <alignment horizontal="center" vertical="center"/>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9"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2" fillId="0" borderId="0" xfId="0" applyFont="1" applyBorder="1" applyAlignment="1" applyProtection="1">
      <alignment horizontal="center"/>
    </xf>
    <xf numFmtId="0" fontId="1" fillId="0" borderId="0" xfId="0" applyFont="1"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wrapText="1"/>
    </xf>
    <xf numFmtId="0" fontId="0" fillId="0" borderId="0" xfId="0" applyAlignment="1">
      <alignment wrapText="1"/>
    </xf>
    <xf numFmtId="0" fontId="0" fillId="0" borderId="0" xfId="0" applyAlignment="1" applyProtection="1">
      <alignment vertical="top" wrapText="1" shrinkToFit="1"/>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xf>
    <xf numFmtId="0" fontId="2" fillId="0" borderId="26" xfId="0" applyFont="1" applyBorder="1" applyAlignment="1" applyProtection="1">
      <alignment horizontal="center" vertical="center"/>
    </xf>
    <xf numFmtId="0" fontId="2" fillId="0" borderId="26"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6" xfId="0" applyBorder="1" applyAlignment="1" applyProtection="1">
      <alignment horizontal="center" vertical="center"/>
    </xf>
  </cellXfs>
  <cellStyles count="2">
    <cellStyle name="Normal" xfId="0" builtinId="0"/>
    <cellStyle name="Normal 2" xfId="1"/>
  </cellStyles>
  <dxfs count="3">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9" defaultPivotStyle="PivotStyleLight16"/>
  <colors>
    <mruColors>
      <color rgb="FF99CCFF"/>
      <color rgb="FF2B4600"/>
      <color rgb="FF004600"/>
      <color rgb="FF005000"/>
      <color rgb="FF003300"/>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checked="Checked" fmlaLink="Constants!$E$15" lockText="1" noThreeD="1"/>
</file>

<file path=xl/ctrlProps/ctrlProp2.xml><?xml version="1.0" encoding="utf-8"?>
<formControlPr xmlns="http://schemas.microsoft.com/office/spreadsheetml/2009/9/main" objectType="CheckBox" checked="Checked" fmlaLink="Constants!$E$13" lockText="1" noThreeD="1"/>
</file>

<file path=xl/ctrlProps/ctrlProp3.xml><?xml version="1.0" encoding="utf-8"?>
<formControlPr xmlns="http://schemas.microsoft.com/office/spreadsheetml/2009/9/main" objectType="CheckBox" fmlaLink="Constants!$E$16" lockText="1" noThreeD="1"/>
</file>

<file path=xl/ctrlProps/ctrlProp4.xml><?xml version="1.0" encoding="utf-8"?>
<formControlPr xmlns="http://schemas.microsoft.com/office/spreadsheetml/2009/9/main" objectType="CheckBox" fmlaLink="Constants!$E$11" lockText="1" noThreeD="1"/>
</file>

<file path=xl/ctrlProps/ctrlProp5.xml><?xml version="1.0" encoding="utf-8"?>
<formControlPr xmlns="http://schemas.microsoft.com/office/spreadsheetml/2009/9/main" objectType="CheckBox" fmlaLink="Constants!$E$12" lockText="1" noThreeD="1"/>
</file>

<file path=xl/ctrlProps/ctrlProp6.xml><?xml version="1.0" encoding="utf-8"?>
<formControlPr xmlns="http://schemas.microsoft.com/office/spreadsheetml/2009/9/main" objectType="CheckBox" fmlaLink="Constants!$E$14" lockText="1" noThreeD="1"/>
</file>

<file path=xl/ctrlProps/ctrlProp7.xml><?xml version="1.0" encoding="utf-8"?>
<formControlPr xmlns="http://schemas.microsoft.com/office/spreadsheetml/2009/9/main" objectType="CheckBox" checked="Checked" fmlaLink="Constants!$E$19" lockText="1" noThreeD="1"/>
</file>

<file path=xl/ctrlProps/ctrlProp8.xml><?xml version="1.0" encoding="utf-8"?>
<formControlPr xmlns="http://schemas.microsoft.com/office/spreadsheetml/2009/9/main" objectType="CheckBox" fmlaLink="Constants!$E$18" lockText="1" noThreeD="1"/>
</file>

<file path=xl/ctrlProps/ctrlProp9.xml><?xml version="1.0" encoding="utf-8"?>
<formControlPr xmlns="http://schemas.microsoft.com/office/spreadsheetml/2009/9/main" objectType="CheckBox" fmlaLink="Constants!$E$20" lockText="1" noThreeD="1"/>
</file>

<file path=xl/ctrlProps/ctrlProp10.xml><?xml version="1.0" encoding="utf-8"?>
<formControlPr xmlns="http://schemas.microsoft.com/office/spreadsheetml/2009/9/main" objectType="CheckBox" fmlaLink="Constants!$E$21" lockText="1" noThreeD="1"/>
</file>

<file path=xl/ctrlProps/ctrlProp11.xml><?xml version="1.0" encoding="utf-8"?>
<formControlPr xmlns="http://schemas.microsoft.com/office/spreadsheetml/2009/9/main" objectType="CheckBox" fmlaLink="Constants!$E$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466725</xdr:colOff>
          <xdr:row>18</xdr:row>
          <xdr:rowOff>85725</xdr:rowOff>
        </xdr:from>
        <xdr:to>
          <xdr:col>2</xdr:col>
          <xdr:colOff>704850</xdr:colOff>
          <xdr:row>18</xdr:row>
          <xdr:rowOff>247650</xdr:rowOff>
        </xdr:to>
        <xdr:sp macro="" textlink="">
          <xdr:nvSpPr>
            <xdr:cNvPr id="1034" name="Check Box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17</xdr:row>
          <xdr:rowOff>85725</xdr:rowOff>
        </xdr:from>
        <xdr:to>
          <xdr:col>2</xdr:col>
          <xdr:colOff>504825</xdr:colOff>
          <xdr:row>17</xdr:row>
          <xdr:rowOff>257175</xdr:rowOff>
        </xdr:to>
        <xdr:sp macro="" textlink="">
          <xdr:nvSpPr>
            <xdr:cNvPr id="1035" name="Check Box 11" hidden="1">
              <a:extLst>
                <a:ext uri="{63B3BB69-23CF-44E3-9099-C40C66FF867C}">
                  <a14:compatExt spid="_x0000_s1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85725</xdr:rowOff>
        </xdr:from>
        <xdr:to>
          <xdr:col>2</xdr:col>
          <xdr:colOff>514350</xdr:colOff>
          <xdr:row>19</xdr:row>
          <xdr:rowOff>247650</xdr:rowOff>
        </xdr:to>
        <xdr:sp macro="" textlink="">
          <xdr:nvSpPr>
            <xdr:cNvPr id="1036" name="Check Box 12"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16</xdr:row>
          <xdr:rowOff>57150</xdr:rowOff>
        </xdr:from>
        <xdr:to>
          <xdr:col>2</xdr:col>
          <xdr:colOff>514350</xdr:colOff>
          <xdr:row>16</xdr:row>
          <xdr:rowOff>285750</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16</xdr:row>
          <xdr:rowOff>57150</xdr:rowOff>
        </xdr:from>
        <xdr:to>
          <xdr:col>3</xdr:col>
          <xdr:colOff>0</xdr:colOff>
          <xdr:row>16</xdr:row>
          <xdr:rowOff>285750</xdr:rowOff>
        </xdr:to>
        <xdr:sp macro="" textlink="">
          <xdr:nvSpPr>
            <xdr:cNvPr id="1041" name="Check Box 17"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17</xdr:row>
          <xdr:rowOff>85725</xdr:rowOff>
        </xdr:from>
        <xdr:to>
          <xdr:col>2</xdr:col>
          <xdr:colOff>1152525</xdr:colOff>
          <xdr:row>17</xdr:row>
          <xdr:rowOff>257175</xdr:rowOff>
        </xdr:to>
        <xdr:sp macro="" textlink="">
          <xdr:nvSpPr>
            <xdr:cNvPr id="1044" name="Check Box 20"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21</xdr:row>
          <xdr:rowOff>85725</xdr:rowOff>
        </xdr:from>
        <xdr:to>
          <xdr:col>2</xdr:col>
          <xdr:colOff>685800</xdr:colOff>
          <xdr:row>21</xdr:row>
          <xdr:rowOff>247650</xdr:rowOff>
        </xdr:to>
        <xdr:sp macro="" textlink="">
          <xdr:nvSpPr>
            <xdr:cNvPr id="1056" name="Check Box 32"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20</xdr:row>
          <xdr:rowOff>85725</xdr:rowOff>
        </xdr:from>
        <xdr:to>
          <xdr:col>2</xdr:col>
          <xdr:colOff>685800</xdr:colOff>
          <xdr:row>20</xdr:row>
          <xdr:rowOff>247650</xdr:rowOff>
        </xdr:to>
        <xdr:sp macro="" textlink="">
          <xdr:nvSpPr>
            <xdr:cNvPr id="1058" name="Check Box 34" hidden="1">
              <a:extLst>
                <a:ext uri="{63B3BB69-23CF-44E3-9099-C40C66FF867C}">
                  <a14:compatExt spid="_x0000_s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22</xdr:row>
          <xdr:rowOff>85725</xdr:rowOff>
        </xdr:from>
        <xdr:to>
          <xdr:col>2</xdr:col>
          <xdr:colOff>685800</xdr:colOff>
          <xdr:row>22</xdr:row>
          <xdr:rowOff>247650</xdr:rowOff>
        </xdr:to>
        <xdr:sp macro="" textlink="">
          <xdr:nvSpPr>
            <xdr:cNvPr id="1062" name="Check Box 38" hidden="1">
              <a:extLst>
                <a:ext uri="{63B3BB69-23CF-44E3-9099-C40C66FF867C}">
                  <a14:compatExt spid="_x0000_s1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23</xdr:row>
          <xdr:rowOff>85725</xdr:rowOff>
        </xdr:from>
        <xdr:to>
          <xdr:col>2</xdr:col>
          <xdr:colOff>685800</xdr:colOff>
          <xdr:row>23</xdr:row>
          <xdr:rowOff>247650</xdr:rowOff>
        </xdr:to>
        <xdr:sp macro="" textlink="">
          <xdr:nvSpPr>
            <xdr:cNvPr id="1064" name="Check Box 40" hidden="1">
              <a:extLst>
                <a:ext uri="{63B3BB69-23CF-44E3-9099-C40C66FF867C}">
                  <a14:compatExt spid="_x0000_s1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790575</xdr:colOff>
      <xdr:row>3</xdr:row>
      <xdr:rowOff>52197</xdr:rowOff>
    </xdr:to>
    <xdr:pic>
      <xdr:nvPicPr>
        <xdr:cNvPr id="15" name="Picture 1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942975</xdr:colOff>
          <xdr:row>19</xdr:row>
          <xdr:rowOff>85725</xdr:rowOff>
        </xdr:from>
        <xdr:to>
          <xdr:col>3</xdr:col>
          <xdr:colOff>0</xdr:colOff>
          <xdr:row>19</xdr:row>
          <xdr:rowOff>247650</xdr:rowOff>
        </xdr:to>
        <xdr:sp macro="" textlink="">
          <xdr:nvSpPr>
            <xdr:cNvPr id="1065" name="Check Box 41" hidden="1">
              <a:extLst>
                <a:ext uri="{63B3BB69-23CF-44E3-9099-C40C66FF867C}">
                  <a14:compatExt spid="_x0000_s1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352425</xdr:colOff>
      <xdr:row>22</xdr:row>
      <xdr:rowOff>5912</xdr:rowOff>
    </xdr:from>
    <xdr:to>
      <xdr:col>6</xdr:col>
      <xdr:colOff>895350</xdr:colOff>
      <xdr:row>31</xdr:row>
      <xdr:rowOff>120212</xdr:rowOff>
    </xdr:to>
    <xdr:sp macro="" textlink="">
      <xdr:nvSpPr>
        <xdr:cNvPr id="2" name="Oval 1"/>
        <xdr:cNvSpPr/>
      </xdr:nvSpPr>
      <xdr:spPr>
        <a:xfrm>
          <a:off x="4891580" y="5333343"/>
          <a:ext cx="2172029"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28</xdr:row>
      <xdr:rowOff>151086</xdr:rowOff>
    </xdr:from>
    <xdr:to>
      <xdr:col>1</xdr:col>
      <xdr:colOff>1707931</xdr:colOff>
      <xdr:row>31</xdr:row>
      <xdr:rowOff>6569</xdr:rowOff>
    </xdr:to>
    <xdr:sp macro="" textlink="" fLocksText="0">
      <xdr:nvSpPr>
        <xdr:cNvPr id="18" name="Trapezoid 17"/>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5</xdr:col>
      <xdr:colOff>1037897</xdr:colOff>
      <xdr:row>22</xdr:row>
      <xdr:rowOff>124810</xdr:rowOff>
    </xdr:from>
    <xdr:to>
      <xdr:col>6</xdr:col>
      <xdr:colOff>157655</xdr:colOff>
      <xdr:row>24</xdr:row>
      <xdr:rowOff>210206</xdr:rowOff>
    </xdr:to>
    <xdr:sp macro="" textlink="" fLocksText="0">
      <xdr:nvSpPr>
        <xdr:cNvPr id="52" name="Trapezoid 51"/>
        <xdr:cNvSpPr/>
      </xdr:nvSpPr>
      <xdr:spPr>
        <a:xfrm rot="10800000">
          <a:off x="5577052"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1056947</xdr:colOff>
      <xdr:row>28</xdr:row>
      <xdr:rowOff>151086</xdr:rowOff>
    </xdr:from>
    <xdr:to>
      <xdr:col>6</xdr:col>
      <xdr:colOff>176705</xdr:colOff>
      <xdr:row>31</xdr:row>
      <xdr:rowOff>6569</xdr:rowOff>
    </xdr:to>
    <xdr:sp macro="" textlink="" fLocksText="0">
      <xdr:nvSpPr>
        <xdr:cNvPr id="53" name="Trapezoid 52"/>
        <xdr:cNvSpPr/>
      </xdr:nvSpPr>
      <xdr:spPr>
        <a:xfrm>
          <a:off x="5600372" y="5875611"/>
          <a:ext cx="748533"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1</a:t>
          </a:r>
        </a:p>
      </xdr:txBody>
    </xdr:sp>
    <xdr:clientData fLocksWithSheet="0"/>
  </xdr:twoCellAnchor>
  <xdr:twoCellAnchor>
    <xdr:from>
      <xdr:col>6</xdr:col>
      <xdr:colOff>233199</xdr:colOff>
      <xdr:row>25</xdr:row>
      <xdr:rowOff>36131</xdr:rowOff>
    </xdr:from>
    <xdr:to>
      <xdr:col>6</xdr:col>
      <xdr:colOff>778423</xdr:colOff>
      <xdr:row>28</xdr:row>
      <xdr:rowOff>95251</xdr:rowOff>
    </xdr:to>
    <xdr:sp macro="" textlink="" fLocksText="0">
      <xdr:nvSpPr>
        <xdr:cNvPr id="54" name="Trapezoid 53"/>
        <xdr:cNvSpPr/>
      </xdr:nvSpPr>
      <xdr:spPr>
        <a:xfrm rot="16200000">
          <a:off x="6299639"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456544</xdr:colOff>
      <xdr:row>25</xdr:row>
      <xdr:rowOff>36131</xdr:rowOff>
    </xdr:from>
    <xdr:to>
      <xdr:col>5</xdr:col>
      <xdr:colOff>1001768</xdr:colOff>
      <xdr:row>28</xdr:row>
      <xdr:rowOff>95251</xdr:rowOff>
    </xdr:to>
    <xdr:sp macro="" textlink="" fLocksText="0">
      <xdr:nvSpPr>
        <xdr:cNvPr id="55" name="Trapezoid 54"/>
        <xdr:cNvSpPr/>
      </xdr:nvSpPr>
      <xdr:spPr>
        <a:xfrm rot="5400000">
          <a:off x="4893880"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1555929</xdr:colOff>
      <xdr:row>27</xdr:row>
      <xdr:rowOff>183016</xdr:rowOff>
    </xdr:from>
    <xdr:to>
      <xdr:col>6</xdr:col>
      <xdr:colOff>675687</xdr:colOff>
      <xdr:row>30</xdr:row>
      <xdr:rowOff>38499</xdr:rowOff>
    </xdr:to>
    <xdr:sp macro="" textlink="" fLocksText="0">
      <xdr:nvSpPr>
        <xdr:cNvPr id="56" name="Trapezoid 55"/>
        <xdr:cNvSpPr/>
      </xdr:nvSpPr>
      <xdr:spPr>
        <a:xfrm rot="18900000">
          <a:off x="6095084"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561907</xdr:colOff>
      <xdr:row>23</xdr:row>
      <xdr:rowOff>108650</xdr:rowOff>
    </xdr:from>
    <xdr:to>
      <xdr:col>5</xdr:col>
      <xdr:colOff>1310769</xdr:colOff>
      <xdr:row>25</xdr:row>
      <xdr:rowOff>194047</xdr:rowOff>
    </xdr:to>
    <xdr:sp macro="" textlink="" fLocksText="0">
      <xdr:nvSpPr>
        <xdr:cNvPr id="57" name="Trapezoid 56"/>
        <xdr:cNvSpPr/>
      </xdr:nvSpPr>
      <xdr:spPr>
        <a:xfrm rot="8100000">
          <a:off x="5101062"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29957</xdr:colOff>
      <xdr:row>23</xdr:row>
      <xdr:rowOff>1577</xdr:rowOff>
    </xdr:from>
    <xdr:to>
      <xdr:col>6</xdr:col>
      <xdr:colOff>575181</xdr:colOff>
      <xdr:row>26</xdr:row>
      <xdr:rowOff>60698</xdr:rowOff>
    </xdr:to>
    <xdr:sp macro="" textlink="" fLocksText="0">
      <xdr:nvSpPr>
        <xdr:cNvPr id="58" name="Trapezoid 57"/>
        <xdr:cNvSpPr/>
      </xdr:nvSpPr>
      <xdr:spPr>
        <a:xfrm rot="13500000">
          <a:off x="6096397"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665039</xdr:colOff>
      <xdr:row>27</xdr:row>
      <xdr:rowOff>75943</xdr:rowOff>
    </xdr:from>
    <xdr:to>
      <xdr:col>5</xdr:col>
      <xdr:colOff>1210263</xdr:colOff>
      <xdr:row>30</xdr:row>
      <xdr:rowOff>135064</xdr:rowOff>
    </xdr:to>
    <xdr:sp macro="" textlink="" fLocksText="0">
      <xdr:nvSpPr>
        <xdr:cNvPr id="59" name="Trapezoid 58"/>
        <xdr:cNvSpPr/>
      </xdr:nvSpPr>
      <xdr:spPr>
        <a:xfrm rot="2700000">
          <a:off x="5102375"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xdr:cNvSpPr/>
      </xdr:nvSpPr>
      <xdr:spPr>
        <a:xfrm>
          <a:off x="3387587" y="7354956"/>
          <a:ext cx="604631" cy="157369"/>
        </a:xfrm>
        <a:prstGeom prst="roundRect">
          <a:avLst/>
        </a:prstGeom>
        <a:solidFill>
          <a:sysClr val="window" lastClr="FFFFFF"/>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35</xdr:row>
      <xdr:rowOff>198782</xdr:rowOff>
    </xdr:from>
    <xdr:to>
      <xdr:col>4</xdr:col>
      <xdr:colOff>339588</xdr:colOff>
      <xdr:row>36</xdr:row>
      <xdr:rowOff>124238</xdr:rowOff>
    </xdr:to>
    <xdr:sp macro="" textlink="">
      <xdr:nvSpPr>
        <xdr:cNvPr id="37" name="Rounded Rectangle 36"/>
        <xdr:cNvSpPr/>
      </xdr:nvSpPr>
      <xdr:spPr>
        <a:xfrm>
          <a:off x="3387587"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xdr:cNvSpPr/>
      </xdr:nvSpPr>
      <xdr:spPr>
        <a:xfrm>
          <a:off x="4514021"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35</xdr:row>
      <xdr:rowOff>198782</xdr:rowOff>
    </xdr:from>
    <xdr:to>
      <xdr:col>5</xdr:col>
      <xdr:colOff>579782</xdr:colOff>
      <xdr:row>36</xdr:row>
      <xdr:rowOff>124238</xdr:rowOff>
    </xdr:to>
    <xdr:sp macro="" textlink="">
      <xdr:nvSpPr>
        <xdr:cNvPr id="43" name="Rounded Rectangle 42"/>
        <xdr:cNvSpPr/>
      </xdr:nvSpPr>
      <xdr:spPr>
        <a:xfrm>
          <a:off x="4514021"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xdr:cNvSpPr/>
      </xdr:nvSpPr>
      <xdr:spPr>
        <a:xfrm>
          <a:off x="5549347" y="7354956"/>
          <a:ext cx="604631" cy="157369"/>
        </a:xfrm>
        <a:prstGeom prst="roundRect">
          <a:avLst/>
        </a:prstGeom>
        <a:solidFill>
          <a:sysClr val="window" lastClr="FFFFFF"/>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35</xdr:row>
      <xdr:rowOff>198782</xdr:rowOff>
    </xdr:from>
    <xdr:to>
      <xdr:col>5</xdr:col>
      <xdr:colOff>1615108</xdr:colOff>
      <xdr:row>36</xdr:row>
      <xdr:rowOff>124238</xdr:rowOff>
    </xdr:to>
    <xdr:sp macro="" textlink="">
      <xdr:nvSpPr>
        <xdr:cNvPr id="61" name="Rounded Rectangle 60"/>
        <xdr:cNvSpPr/>
      </xdr:nvSpPr>
      <xdr:spPr>
        <a:xfrm>
          <a:off x="5549347"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34</xdr:row>
      <xdr:rowOff>207065</xdr:rowOff>
    </xdr:from>
    <xdr:to>
      <xdr:col>3</xdr:col>
      <xdr:colOff>140804</xdr:colOff>
      <xdr:row>35</xdr:row>
      <xdr:rowOff>132521</xdr:rowOff>
    </xdr:to>
    <xdr:sp macro="" textlink="">
      <xdr:nvSpPr>
        <xdr:cNvPr id="62" name="Rounded Rectangle 61"/>
        <xdr:cNvSpPr/>
      </xdr:nvSpPr>
      <xdr:spPr>
        <a:xfrm>
          <a:off x="2302564"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xdr:cNvSpPr/>
      </xdr:nvSpPr>
      <xdr:spPr>
        <a:xfrm>
          <a:off x="2302564"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xdr:cNvSpPr/>
      </xdr:nvSpPr>
      <xdr:spPr>
        <a:xfrm>
          <a:off x="1283803" y="7354956"/>
          <a:ext cx="604631" cy="157369"/>
        </a:xfrm>
        <a:prstGeom prst="roundRect">
          <a:avLst/>
        </a:prstGeom>
        <a:solidFill>
          <a:sysClr val="window" lastClr="FFFFFF"/>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35</xdr:row>
      <xdr:rowOff>198782</xdr:rowOff>
    </xdr:from>
    <xdr:to>
      <xdr:col>2</xdr:col>
      <xdr:colOff>99391</xdr:colOff>
      <xdr:row>36</xdr:row>
      <xdr:rowOff>124238</xdr:rowOff>
    </xdr:to>
    <xdr:sp macro="" textlink="">
      <xdr:nvSpPr>
        <xdr:cNvPr id="65" name="Rounded Rectangle 64"/>
        <xdr:cNvSpPr/>
      </xdr:nvSpPr>
      <xdr:spPr>
        <a:xfrm>
          <a:off x="1283803"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xdr:cNvSpPr/>
      </xdr:nvSpPr>
      <xdr:spPr>
        <a:xfrm>
          <a:off x="3387587" y="8431702"/>
          <a:ext cx="604631" cy="157370"/>
        </a:xfrm>
        <a:prstGeom prst="roundRect">
          <a:avLst/>
        </a:prstGeom>
        <a:solidFill>
          <a:sysClr val="window" lastClr="FFFFFF"/>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xdr:cNvSpPr/>
      </xdr:nvSpPr>
      <xdr:spPr>
        <a:xfrm>
          <a:off x="3387587"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39</xdr:row>
      <xdr:rowOff>124245</xdr:rowOff>
    </xdr:from>
    <xdr:to>
      <xdr:col>5</xdr:col>
      <xdr:colOff>579782</xdr:colOff>
      <xdr:row>40</xdr:row>
      <xdr:rowOff>49702</xdr:rowOff>
    </xdr:to>
    <xdr:sp macro="" textlink="">
      <xdr:nvSpPr>
        <xdr:cNvPr id="69" name="Rounded Rectangle 68"/>
        <xdr:cNvSpPr/>
      </xdr:nvSpPr>
      <xdr:spPr>
        <a:xfrm>
          <a:off x="4514021"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39</xdr:row>
      <xdr:rowOff>124245</xdr:rowOff>
    </xdr:from>
    <xdr:to>
      <xdr:col>3</xdr:col>
      <xdr:colOff>140804</xdr:colOff>
      <xdr:row>40</xdr:row>
      <xdr:rowOff>49702</xdr:rowOff>
    </xdr:to>
    <xdr:sp macro="" textlink="">
      <xdr:nvSpPr>
        <xdr:cNvPr id="73" name="Rounded Rectangle 72"/>
        <xdr:cNvSpPr/>
      </xdr:nvSpPr>
      <xdr:spPr>
        <a:xfrm>
          <a:off x="23025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xdr:cNvSpPr/>
      </xdr:nvSpPr>
      <xdr:spPr>
        <a:xfrm>
          <a:off x="23025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xdr:cNvSpPr/>
      </xdr:nvSpPr>
      <xdr:spPr>
        <a:xfrm>
          <a:off x="1283803" y="8431702"/>
          <a:ext cx="604631" cy="157370"/>
        </a:xfrm>
        <a:prstGeom prst="roundRect">
          <a:avLst/>
        </a:prstGeom>
        <a:solidFill>
          <a:sysClr val="window" lastClr="FFFFFF"/>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40</xdr:row>
      <xdr:rowOff>115963</xdr:rowOff>
    </xdr:from>
    <xdr:to>
      <xdr:col>2</xdr:col>
      <xdr:colOff>99391</xdr:colOff>
      <xdr:row>41</xdr:row>
      <xdr:rowOff>41419</xdr:rowOff>
    </xdr:to>
    <xdr:sp macro="" textlink="">
      <xdr:nvSpPr>
        <xdr:cNvPr id="76" name="Rounded Rectangle 75"/>
        <xdr:cNvSpPr/>
      </xdr:nvSpPr>
      <xdr:spPr>
        <a:xfrm>
          <a:off x="1283803"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xdr:cNvSpPr/>
      </xdr:nvSpPr>
      <xdr:spPr>
        <a:xfrm>
          <a:off x="5541064" y="8431702"/>
          <a:ext cx="604631" cy="157370"/>
        </a:xfrm>
        <a:prstGeom prst="roundRect">
          <a:avLst/>
        </a:prstGeom>
        <a:solidFill>
          <a:sysClr val="window" lastClr="FFFFFF"/>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xdr:cNvSpPr/>
      </xdr:nvSpPr>
      <xdr:spPr>
        <a:xfrm>
          <a:off x="55410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137922</xdr:rowOff>
    </xdr:to>
    <xdr:pic>
      <xdr:nvPicPr>
        <xdr:cNvPr id="71" name="Picture 7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xdr:from>
      <xdr:col>2</xdr:col>
      <xdr:colOff>828675</xdr:colOff>
      <xdr:row>22</xdr:row>
      <xdr:rowOff>9525</xdr:rowOff>
    </xdr:from>
    <xdr:to>
      <xdr:col>5</xdr:col>
      <xdr:colOff>247650</xdr:colOff>
      <xdr:row>31</xdr:row>
      <xdr:rowOff>123825</xdr:rowOff>
    </xdr:to>
    <xdr:sp macro="" textlink="">
      <xdr:nvSpPr>
        <xdr:cNvPr id="9" name="Oval 8"/>
        <xdr:cNvSpPr/>
      </xdr:nvSpPr>
      <xdr:spPr>
        <a:xfrm flipV="1">
          <a:off x="2619375" y="43624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157656</xdr:colOff>
      <xdr:row>27</xdr:row>
      <xdr:rowOff>180319</xdr:rowOff>
    </xdr:from>
    <xdr:to>
      <xdr:col>5</xdr:col>
      <xdr:colOff>19707</xdr:colOff>
      <xdr:row>30</xdr:row>
      <xdr:rowOff>37115</xdr:rowOff>
    </xdr:to>
    <xdr:sp macro="" textlink="" fLocksText="0">
      <xdr:nvSpPr>
        <xdr:cNvPr id="44" name="Trapezoid 43"/>
        <xdr:cNvSpPr/>
      </xdr:nvSpPr>
      <xdr:spPr>
        <a:xfrm rot="8133018" flipV="1">
          <a:off x="3815256" y="5676244"/>
          <a:ext cx="747876"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xdr:twoCellAnchor>
  <xdr:twoCellAnchor>
    <xdr:from>
      <xdr:col>3</xdr:col>
      <xdr:colOff>81716</xdr:colOff>
      <xdr:row>27</xdr:row>
      <xdr:rowOff>177428</xdr:rowOff>
    </xdr:from>
    <xdr:to>
      <xdr:col>3</xdr:col>
      <xdr:colOff>830578</xdr:colOff>
      <xdr:row>30</xdr:row>
      <xdr:rowOff>34225</xdr:rowOff>
    </xdr:to>
    <xdr:sp macro="" textlink="" fLocksText="0">
      <xdr:nvSpPr>
        <xdr:cNvPr id="49" name="Trapezoid 48"/>
        <xdr:cNvSpPr/>
      </xdr:nvSpPr>
      <xdr:spPr>
        <a:xfrm rot="13487471" flipV="1">
          <a:off x="2853491" y="5673353"/>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567232</xdr:colOff>
      <xdr:row>28</xdr:row>
      <xdr:rowOff>170794</xdr:rowOff>
    </xdr:from>
    <xdr:to>
      <xdr:col>4</xdr:col>
      <xdr:colOff>429283</xdr:colOff>
      <xdr:row>31</xdr:row>
      <xdr:rowOff>27590</xdr:rowOff>
    </xdr:to>
    <xdr:sp macro="" textlink="" fLocksText="0">
      <xdr:nvSpPr>
        <xdr:cNvPr id="66" name="Trapezoid 65"/>
        <xdr:cNvSpPr/>
      </xdr:nvSpPr>
      <xdr:spPr>
        <a:xfrm rot="10800000" flipV="1">
          <a:off x="3339007" y="5895319"/>
          <a:ext cx="747876"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4</xdr:col>
      <xdr:colOff>458515</xdr:colOff>
      <xdr:row>25</xdr:row>
      <xdr:rowOff>52553</xdr:rowOff>
    </xdr:from>
    <xdr:to>
      <xdr:col>5</xdr:col>
      <xdr:colOff>117914</xdr:colOff>
      <xdr:row>28</xdr:row>
      <xdr:rowOff>111673</xdr:rowOff>
    </xdr:to>
    <xdr:sp macro="" textlink="" fLocksText="0">
      <xdr:nvSpPr>
        <xdr:cNvPr id="72" name="Trapezoid 71"/>
        <xdr:cNvSpPr/>
      </xdr:nvSpPr>
      <xdr:spPr>
        <a:xfrm rot="16200000">
          <a:off x="4016267" y="5191126"/>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264798</xdr:colOff>
      <xdr:row>23</xdr:row>
      <xdr:rowOff>24897</xdr:rowOff>
    </xdr:from>
    <xdr:to>
      <xdr:col>4</xdr:col>
      <xdr:colOff>812978</xdr:colOff>
      <xdr:row>26</xdr:row>
      <xdr:rowOff>84018</xdr:rowOff>
    </xdr:to>
    <xdr:sp macro="" textlink="" fLocksText="0">
      <xdr:nvSpPr>
        <xdr:cNvPr id="83" name="Trapezoid 82"/>
        <xdr:cNvSpPr/>
      </xdr:nvSpPr>
      <xdr:spPr>
        <a:xfrm rot="13500000">
          <a:off x="3824027" y="4704793"/>
          <a:ext cx="744921" cy="548180"/>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548509</xdr:colOff>
      <xdr:row>22</xdr:row>
      <xdr:rowOff>137291</xdr:rowOff>
    </xdr:from>
    <xdr:to>
      <xdr:col>4</xdr:col>
      <xdr:colOff>411546</xdr:colOff>
      <xdr:row>24</xdr:row>
      <xdr:rowOff>222687</xdr:rowOff>
    </xdr:to>
    <xdr:sp macro="" textlink="" fLocksText="0">
      <xdr:nvSpPr>
        <xdr:cNvPr id="84" name="Trapezoid 83"/>
        <xdr:cNvSpPr/>
      </xdr:nvSpPr>
      <xdr:spPr>
        <a:xfrm rot="10800000">
          <a:off x="3320284" y="4490216"/>
          <a:ext cx="748862"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62995</xdr:colOff>
      <xdr:row>23</xdr:row>
      <xdr:rowOff>122445</xdr:rowOff>
    </xdr:from>
    <xdr:to>
      <xdr:col>3</xdr:col>
      <xdr:colOff>811857</xdr:colOff>
      <xdr:row>25</xdr:row>
      <xdr:rowOff>207842</xdr:rowOff>
    </xdr:to>
    <xdr:sp macro="" textlink="" fLocksText="0">
      <xdr:nvSpPr>
        <xdr:cNvPr id="95" name="Trapezoid 94"/>
        <xdr:cNvSpPr/>
      </xdr:nvSpPr>
      <xdr:spPr>
        <a:xfrm rot="8100000">
          <a:off x="2834770" y="470397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2</xdr:col>
      <xdr:colOff>938706</xdr:colOff>
      <xdr:row>25</xdr:row>
      <xdr:rowOff>43028</xdr:rowOff>
    </xdr:from>
    <xdr:to>
      <xdr:col>3</xdr:col>
      <xdr:colOff>502855</xdr:colOff>
      <xdr:row>28</xdr:row>
      <xdr:rowOff>102148</xdr:rowOff>
    </xdr:to>
    <xdr:sp macro="" textlink="" fLocksText="0">
      <xdr:nvSpPr>
        <xdr:cNvPr id="96" name="Trapezoid 95"/>
        <xdr:cNvSpPr/>
      </xdr:nvSpPr>
      <xdr:spPr>
        <a:xfrm rot="5400000">
          <a:off x="2629558" y="5181601"/>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2</xdr:col>
      <xdr:colOff>1093305</xdr:colOff>
      <xdr:row>9</xdr:row>
      <xdr:rowOff>116885</xdr:rowOff>
    </xdr:from>
    <xdr:to>
      <xdr:col>3</xdr:col>
      <xdr:colOff>450687</xdr:colOff>
      <xdr:row>9</xdr:row>
      <xdr:rowOff>124239</xdr:rowOff>
    </xdr:to>
    <xdr:cxnSp macro="">
      <xdr:nvCxnSpPr>
        <xdr:cNvPr id="16" name="Straight Connector 15"/>
        <xdr:cNvCxnSpPr>
          <a:stCxn id="10" idx="0"/>
        </xdr:cNvCxnSpPr>
      </xdr:nvCxnSpPr>
      <xdr:spPr>
        <a:xfrm flipH="1">
          <a:off x="4282109" y="2046733"/>
          <a:ext cx="765426"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740020</xdr:colOff>
      <xdr:row>7</xdr:row>
      <xdr:rowOff>124558</xdr:rowOff>
    </xdr:from>
    <xdr:to>
      <xdr:col>3</xdr:col>
      <xdr:colOff>914592</xdr:colOff>
      <xdr:row>12</xdr:row>
      <xdr:rowOff>156098</xdr:rowOff>
    </xdr:to>
    <xdr:grpSp>
      <xdr:nvGrpSpPr>
        <xdr:cNvPr id="3" name="Group 2"/>
        <xdr:cNvGrpSpPr/>
      </xdr:nvGrpSpPr>
      <xdr:grpSpPr>
        <a:xfrm>
          <a:off x="740020" y="1715233"/>
          <a:ext cx="4775147" cy="860215"/>
          <a:chOff x="7093415" y="2758108"/>
          <a:chExt cx="5026204" cy="844828"/>
        </a:xfrm>
      </xdr:grpSpPr>
      <xdr:sp macro="" textlink="">
        <xdr:nvSpPr>
          <xdr:cNvPr id="4" name="Oval 3"/>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xdr:cNvSpPr/>
        </xdr:nvSpPr>
        <xdr:spPr>
          <a:xfrm>
            <a:off x="11630944" y="2758108"/>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895350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116885</xdr:rowOff>
    </xdr:from>
    <xdr:to>
      <xdr:col>3</xdr:col>
      <xdr:colOff>450687</xdr:colOff>
      <xdr:row>9</xdr:row>
      <xdr:rowOff>124239</xdr:rowOff>
    </xdr:to>
    <xdr:cxnSp macro="">
      <xdr:nvCxnSpPr>
        <xdr:cNvPr id="3" name="Straight Connector 2"/>
        <xdr:cNvCxnSpPr>
          <a:stCxn id="10" idx="0"/>
        </xdr:cNvCxnSpPr>
      </xdr:nvCxnSpPr>
      <xdr:spPr>
        <a:xfrm flipH="1">
          <a:off x="4284180" y="2040935"/>
          <a:ext cx="7670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740020</xdr:colOff>
      <xdr:row>7</xdr:row>
      <xdr:rowOff>124558</xdr:rowOff>
    </xdr:from>
    <xdr:to>
      <xdr:col>3</xdr:col>
      <xdr:colOff>914592</xdr:colOff>
      <xdr:row>12</xdr:row>
      <xdr:rowOff>156098</xdr:rowOff>
    </xdr:to>
    <xdr:grpSp>
      <xdr:nvGrpSpPr>
        <xdr:cNvPr id="4" name="Group 3"/>
        <xdr:cNvGrpSpPr/>
      </xdr:nvGrpSpPr>
      <xdr:grpSpPr>
        <a:xfrm>
          <a:off x="740020" y="1696183"/>
          <a:ext cx="4765622" cy="860215"/>
          <a:chOff x="7093415" y="2758108"/>
          <a:chExt cx="5026204" cy="844828"/>
        </a:xfrm>
      </xdr:grpSpPr>
      <xdr:sp macro="" textlink="">
        <xdr:nvSpPr>
          <xdr:cNvPr id="5" name="Oval 4"/>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xdr:cNvSpPr/>
        </xdr:nvSpPr>
        <xdr:spPr>
          <a:xfrm>
            <a:off x="11630944" y="2758108"/>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895350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740019</xdr:colOff>
      <xdr:row>7</xdr:row>
      <xdr:rowOff>124558</xdr:rowOff>
    </xdr:from>
    <xdr:to>
      <xdr:col>3</xdr:col>
      <xdr:colOff>343091</xdr:colOff>
      <xdr:row>12</xdr:row>
      <xdr:rowOff>156098</xdr:rowOff>
    </xdr:to>
    <xdr:grpSp>
      <xdr:nvGrpSpPr>
        <xdr:cNvPr id="3" name="Group 2"/>
        <xdr:cNvGrpSpPr/>
      </xdr:nvGrpSpPr>
      <xdr:grpSpPr>
        <a:xfrm>
          <a:off x="740019" y="1686658"/>
          <a:ext cx="4651322" cy="863390"/>
          <a:chOff x="7093415" y="2758108"/>
          <a:chExt cx="4424187" cy="844828"/>
        </a:xfrm>
      </xdr:grpSpPr>
      <xdr:sp macro="" textlink="">
        <xdr:nvSpPr>
          <xdr:cNvPr id="4" name="Oval 3"/>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xdr:cNvSpPr/>
        </xdr:nvSpPr>
        <xdr:spPr>
          <a:xfrm>
            <a:off x="11028928"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578825</xdr:colOff>
      <xdr:row>7</xdr:row>
      <xdr:rowOff>131883</xdr:rowOff>
    </xdr:from>
    <xdr:to>
      <xdr:col>3</xdr:col>
      <xdr:colOff>511609</xdr:colOff>
      <xdr:row>12</xdr:row>
      <xdr:rowOff>156096</xdr:rowOff>
    </xdr:to>
    <xdr:grpSp>
      <xdr:nvGrpSpPr>
        <xdr:cNvPr id="3" name="Group 2"/>
        <xdr:cNvGrpSpPr/>
      </xdr:nvGrpSpPr>
      <xdr:grpSpPr>
        <a:xfrm>
          <a:off x="578825" y="1703508"/>
          <a:ext cx="4752434" cy="852888"/>
          <a:chOff x="6705087" y="2758108"/>
          <a:chExt cx="4753899" cy="844828"/>
        </a:xfrm>
      </xdr:grpSpPr>
      <xdr:sp macro="" textlink="">
        <xdr:nvSpPr>
          <xdr:cNvPr id="4" name="Oval 3"/>
          <xdr:cNvSpPr/>
        </xdr:nvSpPr>
        <xdr:spPr>
          <a:xfrm>
            <a:off x="9578836"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xdr:cNvSpPr/>
        </xdr:nvSpPr>
        <xdr:spPr>
          <a:xfrm>
            <a:off x="6705087"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xdr:cNvSpPr/>
        </xdr:nvSpPr>
        <xdr:spPr>
          <a:xfrm>
            <a:off x="7119218" y="3056283"/>
            <a:ext cx="104392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xdr:cNvSpPr/>
        </xdr:nvSpPr>
        <xdr:spPr>
          <a:xfrm>
            <a:off x="9445040" y="3056283"/>
            <a:ext cx="11286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8"/>
          <xdr:cNvSpPr/>
        </xdr:nvSpPr>
        <xdr:spPr>
          <a:xfrm>
            <a:off x="1097031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xdr:cNvSpPr/>
        </xdr:nvSpPr>
        <xdr:spPr>
          <a:xfrm>
            <a:off x="8163146" y="3056283"/>
            <a:ext cx="452037"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DVL Bay</a:t>
            </a: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372716</xdr:colOff>
      <xdr:row>7</xdr:row>
      <xdr:rowOff>149085</xdr:rowOff>
    </xdr:from>
    <xdr:to>
      <xdr:col>3</xdr:col>
      <xdr:colOff>240193</xdr:colOff>
      <xdr:row>12</xdr:row>
      <xdr:rowOff>157370</xdr:rowOff>
    </xdr:to>
    <xdr:grpSp>
      <xdr:nvGrpSpPr>
        <xdr:cNvPr id="23" name="Group 22"/>
        <xdr:cNvGrpSpPr/>
      </xdr:nvGrpSpPr>
      <xdr:grpSpPr>
        <a:xfrm>
          <a:off x="372716" y="1720710"/>
          <a:ext cx="4687127" cy="836960"/>
          <a:chOff x="6485281" y="2758108"/>
          <a:chExt cx="4687955" cy="844828"/>
        </a:xfrm>
      </xdr:grpSpPr>
      <xdr:sp macro="" textlink="">
        <xdr:nvSpPr>
          <xdr:cNvPr id="18" name="Oval 17"/>
          <xdr:cNvSpPr/>
        </xdr:nvSpPr>
        <xdr:spPr>
          <a:xfrm>
            <a:off x="9293086"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Oval 14"/>
          <xdr:cNvSpPr/>
        </xdr:nvSpPr>
        <xdr:spPr>
          <a:xfrm>
            <a:off x="6485281"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xdr:cNvSpPr/>
        </xdr:nvSpPr>
        <xdr:spPr>
          <a:xfrm>
            <a:off x="7760804" y="3056283"/>
            <a:ext cx="915887"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Extended Energy bay</a:t>
            </a:r>
          </a:p>
        </xdr:txBody>
      </xdr:sp>
      <xdr:sp macro="" textlink="">
        <xdr:nvSpPr>
          <xdr:cNvPr id="7" name="Rectangle 6"/>
          <xdr:cNvSpPr/>
        </xdr:nvSpPr>
        <xdr:spPr>
          <a:xfrm>
            <a:off x="6899412" y="3056283"/>
            <a:ext cx="8688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xdr:cNvSpPr/>
        </xdr:nvSpPr>
        <xdr:spPr>
          <a:xfrm>
            <a:off x="9372654" y="3056283"/>
            <a:ext cx="930911"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xdr:cNvSpPr/>
        </xdr:nvSpPr>
        <xdr:spPr>
          <a:xfrm>
            <a:off x="8679847" y="3056283"/>
            <a:ext cx="69280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22" name="Freeform 21"/>
          <xdr:cNvSpPr/>
        </xdr:nvSpPr>
        <xdr:spPr>
          <a:xfrm>
            <a:off x="1068456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504600</xdr:colOff>
      <xdr:row>7</xdr:row>
      <xdr:rowOff>149085</xdr:rowOff>
    </xdr:from>
    <xdr:to>
      <xdr:col>3</xdr:col>
      <xdr:colOff>423368</xdr:colOff>
      <xdr:row>12</xdr:row>
      <xdr:rowOff>157370</xdr:rowOff>
    </xdr:to>
    <xdr:grpSp>
      <xdr:nvGrpSpPr>
        <xdr:cNvPr id="3" name="Group 2"/>
        <xdr:cNvGrpSpPr/>
      </xdr:nvGrpSpPr>
      <xdr:grpSpPr>
        <a:xfrm>
          <a:off x="504600" y="1720710"/>
          <a:ext cx="4738418" cy="836960"/>
          <a:chOff x="6617147" y="2758108"/>
          <a:chExt cx="4739239" cy="844828"/>
        </a:xfrm>
        <a:solidFill>
          <a:srgbClr val="2B4600"/>
        </a:solidFill>
      </xdr:grpSpPr>
      <xdr:sp macro="" textlink="">
        <xdr:nvSpPr>
          <xdr:cNvPr id="4" name="Oval 3"/>
          <xdr:cNvSpPr/>
        </xdr:nvSpPr>
        <xdr:spPr>
          <a:xfrm>
            <a:off x="9476236" y="3056284"/>
            <a:ext cx="1822175" cy="546652"/>
          </a:xfrm>
          <a:prstGeom prst="ellipse">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5" name="Oval 4"/>
          <xdr:cNvSpPr/>
        </xdr:nvSpPr>
        <xdr:spPr>
          <a:xfrm>
            <a:off x="6617147" y="3056283"/>
            <a:ext cx="836544" cy="546652"/>
          </a:xfrm>
          <a:prstGeom prst="ellipse">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6" name="Rectangle 5"/>
          <xdr:cNvSpPr/>
        </xdr:nvSpPr>
        <xdr:spPr>
          <a:xfrm>
            <a:off x="8178527" y="3056283"/>
            <a:ext cx="1172149"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Extended Energy</a:t>
            </a:r>
            <a:r>
              <a:rPr lang="en-US" sz="1100" baseline="0">
                <a:solidFill>
                  <a:schemeClr val="bg1"/>
                </a:solidFill>
              </a:rPr>
              <a:t> &amp; </a:t>
            </a:r>
            <a:r>
              <a:rPr lang="en-US" sz="1100">
                <a:solidFill>
                  <a:schemeClr val="bg1"/>
                </a:solidFill>
              </a:rPr>
              <a:t>Science bay</a:t>
            </a:r>
          </a:p>
        </xdr:txBody>
      </xdr:sp>
      <xdr:sp macro="" textlink="">
        <xdr:nvSpPr>
          <xdr:cNvPr id="7" name="Rectangle 6"/>
          <xdr:cNvSpPr/>
        </xdr:nvSpPr>
        <xdr:spPr>
          <a:xfrm>
            <a:off x="7031277" y="3056283"/>
            <a:ext cx="1147249"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Forward Hull</a:t>
            </a:r>
          </a:p>
        </xdr:txBody>
      </xdr:sp>
      <xdr:sp macro="" textlink="">
        <xdr:nvSpPr>
          <xdr:cNvPr id="8" name="Rectangle 7"/>
          <xdr:cNvSpPr/>
        </xdr:nvSpPr>
        <xdr:spPr>
          <a:xfrm>
            <a:off x="9343350" y="3056283"/>
            <a:ext cx="1194127"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Aft Hull</a:t>
            </a:r>
          </a:p>
        </xdr:txBody>
      </xdr:sp>
      <xdr:sp macro="" textlink="">
        <xdr:nvSpPr>
          <xdr:cNvPr id="10" name="Freeform 9"/>
          <xdr:cNvSpPr/>
        </xdr:nvSpPr>
        <xdr:spPr>
          <a:xfrm>
            <a:off x="1086771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ercacuk-my.sharepoint.com/Users/stward/SharePoint/NOC%20-%20MARS%20Gliders/Gliders/Trim%20Sheets/Slocum_trim_sheet_template_NO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llast"/>
      <sheetName val="Worksheet"/>
      <sheetName val="G1 Shallow"/>
      <sheetName val="G1 Deep"/>
      <sheetName val="G2"/>
      <sheetName val="G2 DVL"/>
      <sheetName val="G2 EN"/>
      <sheetName val="G2 EnergySci Bay"/>
      <sheetName val="Ballast Drive"/>
      <sheetName val="Revision History"/>
      <sheetName val="Constants"/>
    </sheetNames>
    <sheetDataSet>
      <sheetData sheetId="0"/>
      <sheetData sheetId="1"/>
      <sheetData sheetId="2"/>
      <sheetData sheetId="3"/>
      <sheetData sheetId="4"/>
      <sheetData sheetId="5"/>
      <sheetData sheetId="6"/>
      <sheetData sheetId="7"/>
      <sheetData sheetId="8"/>
      <sheetData sheetId="9"/>
      <sheetData sheetId="10">
        <row r="2">
          <cell r="A2" t="str">
            <v>G1 Shallow (200m)</v>
          </cell>
          <cell r="C2" t="str">
            <v>Alkaline</v>
          </cell>
          <cell r="D2" t="str">
            <v>9 pack aft</v>
          </cell>
          <cell r="F2" t="str">
            <v>0 pack nose</v>
          </cell>
          <cell r="G2" t="str">
            <v>Stainless Steel</v>
          </cell>
          <cell r="H2" t="str">
            <v>A</v>
          </cell>
          <cell r="J2" t="str">
            <v>Channel 1</v>
          </cell>
        </row>
        <row r="3">
          <cell r="A3" t="str">
            <v>G1 Deep (1000m)</v>
          </cell>
          <cell r="C3" t="str">
            <v>Lithium</v>
          </cell>
          <cell r="D3" t="str">
            <v>10 pack aft</v>
          </cell>
          <cell r="F3" t="str">
            <v>1 pack nose</v>
          </cell>
          <cell r="G3" t="str">
            <v>Lead</v>
          </cell>
          <cell r="H3" t="str">
            <v>B</v>
          </cell>
          <cell r="J3" t="str">
            <v>Channel 2</v>
          </cell>
        </row>
        <row r="4">
          <cell r="A4" t="str">
            <v>G2 Shallow (&lt;=200m)</v>
          </cell>
          <cell r="D4" t="str">
            <v>11 pack aft</v>
          </cell>
          <cell r="F4" t="str">
            <v>2 pack nose</v>
          </cell>
          <cell r="H4" t="str">
            <v>C</v>
          </cell>
          <cell r="J4" t="str">
            <v>Channel 3</v>
          </cell>
        </row>
        <row r="5">
          <cell r="A5" t="str">
            <v>G2 Deep (1000m)</v>
          </cell>
          <cell r="D5" t="str">
            <v>12 pack aft</v>
          </cell>
          <cell r="F5" t="str">
            <v>Lithium Emergency Pack</v>
          </cell>
          <cell r="H5" t="str">
            <v>D</v>
          </cell>
          <cell r="J5" t="str">
            <v>Channel 4</v>
          </cell>
        </row>
        <row r="6">
          <cell r="A6" t="str">
            <v>ES Shallow (100m)</v>
          </cell>
          <cell r="D6" t="str">
            <v>Lithium Aft Pack</v>
          </cell>
          <cell r="J6" t="str">
            <v>FAA-style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94"/>
  <sheetViews>
    <sheetView topLeftCell="A22" zoomScaleNormal="100" zoomScaleSheetLayoutView="115" workbookViewId="0">
      <selection activeCell="E87" sqref="E87"/>
    </sheetView>
  </sheetViews>
  <sheetFormatPr defaultColWidth="9.140625" defaultRowHeight="12.75" x14ac:dyDescent="0.2"/>
  <cols>
    <col min="1" max="1" width="6.85546875" style="91" customWidth="1"/>
    <col min="2" max="2" width="22.42578125" style="91" customWidth="1"/>
    <col min="3" max="3" width="17.42578125" style="91" customWidth="1"/>
    <col min="4" max="4" width="6.42578125" style="91" customWidth="1"/>
    <col min="5" max="5" width="21" style="91" customWidth="1"/>
    <col min="6" max="6" width="5.5703125" style="91" bestFit="1" customWidth="1"/>
    <col min="7" max="7" width="13.140625" style="91" customWidth="1"/>
    <col min="8" max="8" width="12.140625" style="91" bestFit="1" customWidth="1"/>
    <col min="9" max="9" width="16" style="21" customWidth="1"/>
    <col min="10" max="10" width="18.140625" style="21" bestFit="1" customWidth="1"/>
    <col min="11" max="11" width="23.28515625" style="21" customWidth="1"/>
    <col min="12" max="12" width="21.42578125" style="21" customWidth="1"/>
    <col min="13" max="16384" width="9.140625" style="21"/>
  </cols>
  <sheetData>
    <row r="1" spans="1:8" customFormat="1" ht="15.75" customHeight="1" x14ac:dyDescent="0.2">
      <c r="A1" s="92"/>
      <c r="B1" s="92"/>
      <c r="C1" s="92"/>
      <c r="D1" s="111"/>
      <c r="E1" s="156"/>
      <c r="F1" s="158"/>
      <c r="G1" s="159" t="s">
        <v>155</v>
      </c>
      <c r="H1" s="160" t="s">
        <v>154</v>
      </c>
    </row>
    <row r="2" spans="1:8" customFormat="1" ht="15.75" customHeight="1" x14ac:dyDescent="0.2">
      <c r="A2" s="92"/>
      <c r="B2" s="92"/>
      <c r="C2" s="92"/>
      <c r="D2" s="156"/>
      <c r="E2" s="156"/>
      <c r="F2" s="155"/>
      <c r="G2" s="161" t="s">
        <v>156</v>
      </c>
      <c r="H2" s="162" t="s">
        <v>205</v>
      </c>
    </row>
    <row r="3" spans="1:8" customFormat="1" ht="15.75" customHeight="1" x14ac:dyDescent="0.2">
      <c r="A3" s="92"/>
      <c r="B3" s="92"/>
      <c r="C3" s="92"/>
      <c r="D3" s="156"/>
      <c r="E3" s="156"/>
      <c r="F3" s="155"/>
      <c r="G3" s="161" t="s">
        <v>1</v>
      </c>
      <c r="H3" s="163">
        <v>41813</v>
      </c>
    </row>
    <row r="4" spans="1:8" customFormat="1" ht="15.75" customHeight="1" thickBot="1" x14ac:dyDescent="0.25">
      <c r="A4" s="92"/>
      <c r="B4" s="92"/>
      <c r="C4" s="92"/>
      <c r="D4" s="157"/>
      <c r="E4" s="157"/>
      <c r="F4" s="155"/>
      <c r="G4" s="164" t="s">
        <v>157</v>
      </c>
      <c r="H4" s="165">
        <v>12698</v>
      </c>
    </row>
    <row r="5" spans="1:8" customFormat="1" ht="9" customHeight="1" thickBot="1" x14ac:dyDescent="0.25">
      <c r="A5" s="166"/>
      <c r="B5" s="166"/>
      <c r="C5" s="166"/>
      <c r="D5" s="166"/>
      <c r="E5" s="166"/>
      <c r="F5" s="166"/>
      <c r="G5" s="166"/>
      <c r="H5" s="166"/>
    </row>
    <row r="6" spans="1:8" customFormat="1" ht="9" customHeight="1" thickTop="1" x14ac:dyDescent="0.2">
      <c r="A6" s="143"/>
      <c r="B6" s="143"/>
      <c r="C6" s="143"/>
      <c r="D6" s="143"/>
      <c r="E6" s="143"/>
      <c r="F6" s="143"/>
      <c r="G6" s="143"/>
      <c r="H6" s="143"/>
    </row>
    <row r="7" spans="1:8" s="90" customFormat="1" ht="22.5" customHeight="1" x14ac:dyDescent="0.2">
      <c r="A7" s="472" t="s">
        <v>120</v>
      </c>
      <c r="B7" s="472"/>
      <c r="C7" s="472"/>
      <c r="D7" s="472"/>
      <c r="E7" s="471" t="s">
        <v>130</v>
      </c>
      <c r="F7" s="471"/>
      <c r="G7" s="471"/>
      <c r="H7" s="471"/>
    </row>
    <row r="8" spans="1:8" ht="9.75" customHeight="1" x14ac:dyDescent="0.2"/>
    <row r="9" spans="1:8" ht="15.75" customHeight="1" x14ac:dyDescent="0.2">
      <c r="A9" s="457" t="s">
        <v>174</v>
      </c>
      <c r="B9" s="457"/>
      <c r="C9" s="457"/>
      <c r="D9" s="457"/>
      <c r="E9" s="457"/>
      <c r="F9" s="457"/>
      <c r="G9" s="457"/>
      <c r="H9" s="457"/>
    </row>
    <row r="10" spans="1:8" ht="15.75" customHeight="1" x14ac:dyDescent="0.2">
      <c r="A10" s="457" t="s">
        <v>175</v>
      </c>
      <c r="B10" s="458"/>
      <c r="C10" s="458"/>
      <c r="D10" s="458"/>
      <c r="E10" s="458"/>
      <c r="F10" s="458"/>
      <c r="G10" s="458"/>
      <c r="H10" s="458"/>
    </row>
    <row r="11" spans="1:8" ht="15.75" customHeight="1" x14ac:dyDescent="0.2">
      <c r="A11" s="457" t="s">
        <v>176</v>
      </c>
      <c r="B11" s="458"/>
      <c r="C11" s="458"/>
      <c r="D11" s="458"/>
      <c r="E11" s="458"/>
      <c r="F11" s="458"/>
      <c r="G11" s="458"/>
      <c r="H11" s="458"/>
    </row>
    <row r="12" spans="1:8" ht="8.25" customHeight="1" x14ac:dyDescent="0.2"/>
    <row r="13" spans="1:8" ht="21.75" customHeight="1" x14ac:dyDescent="0.2">
      <c r="A13" s="461" t="s">
        <v>0</v>
      </c>
      <c r="B13" s="452"/>
      <c r="C13" s="115" t="s">
        <v>319</v>
      </c>
      <c r="E13" s="114"/>
      <c r="F13" s="114"/>
    </row>
    <row r="14" spans="1:8" ht="21.75" customHeight="1" x14ac:dyDescent="0.2">
      <c r="A14" s="461" t="s">
        <v>119</v>
      </c>
      <c r="B14" s="452"/>
      <c r="C14" s="115" t="s">
        <v>320</v>
      </c>
      <c r="E14" s="114"/>
      <c r="F14" s="114"/>
    </row>
    <row r="15" spans="1:8" ht="21.75" customHeight="1" x14ac:dyDescent="0.2">
      <c r="A15" s="461" t="s">
        <v>1</v>
      </c>
      <c r="B15" s="452"/>
      <c r="C15" s="241">
        <v>44397</v>
      </c>
      <c r="E15" s="112"/>
    </row>
    <row r="16" spans="1:8" ht="30" customHeight="1" thickBot="1" x14ac:dyDescent="0.25">
      <c r="A16" s="461" t="s">
        <v>108</v>
      </c>
      <c r="B16" s="452"/>
      <c r="C16" s="224" t="s">
        <v>112</v>
      </c>
    </row>
    <row r="17" spans="1:9" ht="25.5" customHeight="1" x14ac:dyDescent="0.2">
      <c r="A17" s="468" t="s">
        <v>169</v>
      </c>
      <c r="B17" s="222" t="s">
        <v>191</v>
      </c>
      <c r="C17" s="243" t="s">
        <v>187</v>
      </c>
      <c r="E17" s="116"/>
      <c r="F17" s="114"/>
      <c r="G17" s="113"/>
    </row>
    <row r="18" spans="1:9" ht="25.5" customHeight="1" x14ac:dyDescent="0.2">
      <c r="A18" s="469"/>
      <c r="B18" s="223" t="s">
        <v>192</v>
      </c>
      <c r="C18" s="243" t="s">
        <v>187</v>
      </c>
      <c r="E18" s="112"/>
      <c r="F18" s="114"/>
    </row>
    <row r="19" spans="1:9" ht="25.5" customHeight="1" x14ac:dyDescent="0.2">
      <c r="A19" s="469"/>
      <c r="B19" s="223" t="s">
        <v>201</v>
      </c>
      <c r="C19" s="214"/>
      <c r="E19" s="112"/>
      <c r="F19" s="114"/>
    </row>
    <row r="20" spans="1:9" ht="25.5" customHeight="1" x14ac:dyDescent="0.2">
      <c r="A20" s="469"/>
      <c r="B20" s="223" t="s">
        <v>166</v>
      </c>
      <c r="C20" s="243" t="s">
        <v>187</v>
      </c>
      <c r="E20" s="112"/>
      <c r="F20" s="114"/>
    </row>
    <row r="21" spans="1:9" ht="25.5" customHeight="1" x14ac:dyDescent="0.2">
      <c r="A21" s="469"/>
      <c r="B21" s="223" t="s">
        <v>209</v>
      </c>
      <c r="C21" s="214"/>
      <c r="E21" s="112"/>
      <c r="F21" s="218"/>
    </row>
    <row r="22" spans="1:9" ht="25.5" customHeight="1" x14ac:dyDescent="0.2">
      <c r="A22" s="469"/>
      <c r="B22" s="223" t="s">
        <v>170</v>
      </c>
      <c r="C22" s="214"/>
      <c r="E22" s="112"/>
      <c r="F22" s="221"/>
    </row>
    <row r="23" spans="1:9" ht="25.5" customHeight="1" x14ac:dyDescent="0.2">
      <c r="A23" s="469"/>
      <c r="B23" s="223" t="s">
        <v>206</v>
      </c>
      <c r="C23" s="214"/>
      <c r="E23" s="112"/>
      <c r="F23" s="221"/>
    </row>
    <row r="24" spans="1:9" ht="25.5" customHeight="1" x14ac:dyDescent="0.2">
      <c r="A24" s="469"/>
      <c r="B24" s="223" t="s">
        <v>207</v>
      </c>
      <c r="C24" s="214"/>
      <c r="E24" s="112"/>
      <c r="F24" s="221"/>
    </row>
    <row r="25" spans="1:9" ht="25.5" customHeight="1" x14ac:dyDescent="0.2">
      <c r="A25" s="338"/>
      <c r="B25" s="223" t="s">
        <v>221</v>
      </c>
      <c r="C25" s="224"/>
      <c r="E25" s="112"/>
      <c r="F25" s="221"/>
    </row>
    <row r="26" spans="1:9" ht="25.5" customHeight="1" x14ac:dyDescent="0.2">
      <c r="A26" s="338"/>
      <c r="B26" s="223" t="s">
        <v>227</v>
      </c>
      <c r="C26" s="224"/>
      <c r="E26" s="112"/>
      <c r="F26" s="221"/>
    </row>
    <row r="27" spans="1:9" ht="25.5" customHeight="1" thickBot="1" x14ac:dyDescent="0.25">
      <c r="A27" s="319"/>
      <c r="B27" s="336" t="s">
        <v>218</v>
      </c>
      <c r="C27" s="337"/>
      <c r="E27" s="112"/>
      <c r="F27" s="221"/>
    </row>
    <row r="28" spans="1:9" ht="15.75" customHeight="1" x14ac:dyDescent="0.2">
      <c r="A28" s="461" t="s">
        <v>116</v>
      </c>
      <c r="B28" s="452"/>
      <c r="C28" s="244">
        <f>IF(C16=Constants!A2,Constants!B2,IF(C16=Constants!A3,Constants!B3,IF(C16=Constants!A4,Constants!B4,IF(C16=Constants!A5,Constants!B5,IF(C16=Constants!A6,Constants!B6,)))))</f>
        <v>46.024130132398511</v>
      </c>
      <c r="D28" s="91" t="s">
        <v>2</v>
      </c>
    </row>
    <row r="29" spans="1:9" ht="15.75" customHeight="1" x14ac:dyDescent="0.2">
      <c r="A29" s="461" t="s">
        <v>113</v>
      </c>
      <c r="B29" s="452"/>
      <c r="C29" s="245">
        <f>C28+C27+SUMIF(Constants!E11:E21,"TRUE",Constants!D11:D21)+IF(C25=Constants!H2,Constants!I2,IF(C25=Constants!H3,Constants!I3,IF(C25=Constants!H4,Constants!I4,IF(C25=Constants!H5,Constants!I5,))))+IF(C26=Constants!J2,Constants!K2,IF(C26=Constants!J3,Constants!K3,IF(C26=Constants!J4,Constants!K4,IF(C26=Constants!J5,Constants!K5,IF(C26=Constants!J6,Constants!K6,)))))</f>
        <v>71.265015955607822</v>
      </c>
      <c r="D29" s="91" t="s">
        <v>2</v>
      </c>
      <c r="I29" s="22"/>
    </row>
    <row r="30" spans="1:9" ht="8.25" customHeight="1" x14ac:dyDescent="0.2">
      <c r="B30" s="117"/>
      <c r="D30" s="111"/>
      <c r="G30" s="118"/>
      <c r="I30" s="26"/>
    </row>
    <row r="31" spans="1:9" ht="15.75" customHeight="1" x14ac:dyDescent="0.2">
      <c r="C31" s="116" t="s">
        <v>4</v>
      </c>
      <c r="D31" s="110"/>
      <c r="E31" s="118" t="s">
        <v>3</v>
      </c>
      <c r="F31" s="118"/>
      <c r="G31" s="116" t="s">
        <v>5</v>
      </c>
    </row>
    <row r="32" spans="1:9" ht="15.75" customHeight="1" x14ac:dyDescent="0.2">
      <c r="A32" s="461" t="s">
        <v>70</v>
      </c>
      <c r="B32" s="452"/>
      <c r="C32" s="119">
        <v>27.5</v>
      </c>
      <c r="D32" s="120" t="s">
        <v>8</v>
      </c>
      <c r="E32" s="119">
        <v>-0.1</v>
      </c>
      <c r="F32" s="121" t="s">
        <v>8</v>
      </c>
      <c r="G32" s="122">
        <f>C29*53.5*10^-6*(E32-C32)*E38</f>
        <v>-108.09886642410838</v>
      </c>
      <c r="H32" s="91" t="s">
        <v>10</v>
      </c>
      <c r="I32" s="82" t="str">
        <f>IF(OR(C32&lt;-5,C32&gt;50),"Tank water temp out of range.  Allowable value between -5 and 50 degrees c",IF(OR(E32&lt;-5,E32&gt;50),"Target water temp out of range, allowable value between -5 and 50 degrees c",""))</f>
        <v/>
      </c>
    </row>
    <row r="33" spans="1:12" s="28" customFormat="1" ht="15.75" customHeight="1" x14ac:dyDescent="0.2">
      <c r="A33" s="459" t="s">
        <v>71</v>
      </c>
      <c r="B33" s="460"/>
      <c r="C33" s="124">
        <v>1018.43</v>
      </c>
      <c r="D33" s="111" t="s">
        <v>7</v>
      </c>
      <c r="E33" s="124">
        <v>0</v>
      </c>
      <c r="F33" s="111" t="s">
        <v>7</v>
      </c>
      <c r="G33" s="122"/>
      <c r="H33" s="123"/>
      <c r="I33" s="84" t="str">
        <f>IF(AND(OR(C33=0,ABS(C33-1000)&lt;100),OR(E33=0,ABS(E33-1000)&lt;100)),"","Either tank or target density out of range.  Allowable values are 0 g/L or between 900 and 1100 g/L")</f>
        <v/>
      </c>
    </row>
    <row r="34" spans="1:12" s="28" customFormat="1" ht="15.75" customHeight="1" x14ac:dyDescent="0.2">
      <c r="A34" s="459" t="s">
        <v>72</v>
      </c>
      <c r="B34" s="460"/>
      <c r="C34" s="257">
        <v>4.782</v>
      </c>
      <c r="D34" s="125" t="s">
        <v>15</v>
      </c>
      <c r="E34" s="124">
        <v>0</v>
      </c>
      <c r="F34" s="123" t="s">
        <v>15</v>
      </c>
      <c r="G34" s="126"/>
      <c r="H34" s="123"/>
      <c r="I34" s="82" t="str">
        <f>IF(OR(C34&lt;0,C34&gt;10),"Tank water conductivity out of range",IF(OR(E34&lt;0,E34&gt;10),"Target water conductivity out of range",""))</f>
        <v/>
      </c>
    </row>
    <row r="35" spans="1:12" s="28" customFormat="1" ht="15.75" customHeight="1" x14ac:dyDescent="0.2">
      <c r="A35" s="459" t="s">
        <v>73</v>
      </c>
      <c r="B35" s="460"/>
      <c r="C35" s="124">
        <v>0</v>
      </c>
      <c r="D35" s="125" t="s">
        <v>6</v>
      </c>
      <c r="E35" s="124">
        <v>33.950000000000003</v>
      </c>
      <c r="F35" s="123" t="s">
        <v>6</v>
      </c>
      <c r="G35" s="126"/>
      <c r="H35" s="123"/>
      <c r="I35" s="82" t="str">
        <f>IF(OR(C35&lt;0,C35&gt;100),"Tank water salinity out of range",IF(OR(E35&lt;0,E35&gt;100),"Target water salinity out of range",""))</f>
        <v/>
      </c>
    </row>
    <row r="36" spans="1:12" s="28" customFormat="1" ht="15.75" customHeight="1" x14ac:dyDescent="0.2">
      <c r="A36" s="247"/>
      <c r="B36" s="248"/>
      <c r="C36" s="127"/>
      <c r="D36" s="128"/>
      <c r="E36" s="127"/>
      <c r="F36" s="129"/>
      <c r="G36" s="126"/>
      <c r="H36" s="123"/>
    </row>
    <row r="37" spans="1:12" ht="15.75" customHeight="1" x14ac:dyDescent="0.2">
      <c r="A37" s="461" t="s">
        <v>28</v>
      </c>
      <c r="B37" s="452"/>
      <c r="C37" s="130">
        <f>IF(C34,((0.008+((C32-15)/(1+0.0162*(C32-15)))*0.0005)+(SQRT(C34/(4.2914*(0.6766097+C32*(0.0200564+C32*(0.0001104259+C32*(-0.00000069698+C32*0.0000000010031)))))))*((-0.1692+((C32-15)/(1+0.0162*(C32-15)))*-0.0056)+(SQRT(C34/(4.2914*(0.6766097+C32*(0.0200564+C32*(0.0001104259+C32*(-0.00000069698+C32*0.0000000010031)))))))*((25.3851+((C32-15)/(1+0.0162*(C32-15)))*-0.0066)+(SQRT(C34/(4.2914*(0.6766097+C32*(0.0200564+C32*(0.0001104259+C32*(-0.00000069698+C32*0.0000000010031)))))))*((14.0941+((C32-15)/(1+0.0162*(C32-15)))*-0.0375)+(SQRT(C34/(4.2914*(0.6766097+C32*(0.0200564+C32*(0.0001104259+C32*(-0.00000069698+C32*0.0000000010031)))))))*((-7.0261+((C32-15)/(1+0.0162*(C32-15)))*0.0636)+(SQRT(C34/(4.2914*(0.6766097+C32*(0.0200564+C32*(0.0001104259+C32*(-0.00000069698+C32*0.0000000010031)))))))*((2.7081+((C32-15)/(1+0.0162*(C32-15)))*-0.0144))))))),C35)</f>
        <v>29.4997369166799</v>
      </c>
      <c r="D37" s="111" t="s">
        <v>6</v>
      </c>
      <c r="E37" s="130">
        <f>IF(E34,((0.008+((E32-15)/(1+0.0162*(E32-15)))*0.0005)+(SQRT(E34/(4.2914*(0.6766097+E32*(0.0200564+E32*(0.0001104259+E32*(-0.00000069698+E32*0.0000000010031)))))))*((-0.1692+((E32-15)/(1+0.0162*(E32-15)))*-0.0056)+(SQRT(E34/(4.2914*(0.6766097+E32*(0.0200564+E32*(0.0001104259+E32*(-0.00000069698+E32*0.0000000010031)))))))*((25.3851+((E32-15)/(1+0.0162*(E32-15)))*-0.0066)+(SQRT(E34/(4.2914*(0.6766097+E32*(0.0200564+E32*(0.0001104259+E32*(-0.00000069698+E32*0.0000000010031)))))))*((14.0941+((E32-15)/(1+0.0162*(E32-15)))*-0.0375)+(SQRT(E34/(4.2914*(0.6766097+E32*(0.0200564+E32*(0.0001104259+E32*(-0.00000069698+E32*0.0000000010031)))))))*((-7.0261+((E32-15)/(1+0.0162*(E32-15)))*0.0636)+(SQRT(E34/(4.2914*(0.6766097+E32*(0.0200564+E32*(0.0001104259+E32*(-0.00000069698+E32*0.0000000010031)))))))*((2.7081+((E32-15)/(1+0.0162*(E32-15)))*-0.0144))))))),E35)</f>
        <v>33.950000000000003</v>
      </c>
      <c r="F37" s="91" t="s">
        <v>6</v>
      </c>
      <c r="G37" s="122"/>
      <c r="I37" s="23"/>
    </row>
    <row r="38" spans="1:12" ht="15.75" customHeight="1" x14ac:dyDescent="0.2">
      <c r="A38" s="459" t="s">
        <v>69</v>
      </c>
      <c r="B38" s="460"/>
      <c r="C38" s="131">
        <f>IF(C33,C33,(999.842594+C32*(6.793952*10^-2+C32*(-9.09529*10^-3+C32*(1.001685*10^-4+C32*(-1.120083*10^-6+C32*6.536332*10^-9)))))+C37*((0.824493+C32*(-4.0899*10^-3+C32*(7.6438*10^-5+C32*(-8.2467*10^-7+C32*5.3875*10^-9))))+(-5.72466*10^-3+C32*(1.0227*10^-4-C32*1.6546*10^-6))*SQRT(C37)+4.8314*10^-4*C37))</f>
        <v>1018.43</v>
      </c>
      <c r="D38" s="111" t="s">
        <v>7</v>
      </c>
      <c r="E38" s="131">
        <f>IF(E33,E33,(999.842594+E32*(6.793952*10^-2+E32*(-9.09529*10^-3+E32*(1.001685*10^-4+E32*(-1.120083*10^-6+E32*6.536332*10^-9)))))+E37*((0.824493+E32*(-4.0899*10^-3+E32*(7.6438*10^-5+E32*(-8.2467*10^-7+E32*5.3875*10^-9))))+(-5.72466*10^-3+E32*(1.0227*10^-4-E32*1.6546*10^-6))*SQRT(E37)+4.8314*10^-4*E37))</f>
        <v>1027.2635747918628</v>
      </c>
      <c r="F38" s="91" t="s">
        <v>7</v>
      </c>
      <c r="G38" s="122">
        <f>(E38-C38)*C29</f>
        <v>629.52484848715858</v>
      </c>
      <c r="H38" s="91" t="s">
        <v>10</v>
      </c>
      <c r="I38" s="82" t="str">
        <f>IF(OR(C38&lt;900,C38&gt;1100),"Density of tank water out of range",IF(OR(E38&lt;900,E38&gt;1100),"Density of target water out of range",""))</f>
        <v/>
      </c>
      <c r="K38" s="24"/>
      <c r="L38" s="24"/>
    </row>
    <row r="39" spans="1:12" ht="15.75" customHeight="1" x14ac:dyDescent="0.25">
      <c r="A39" s="249"/>
      <c r="B39" s="249"/>
      <c r="E39" s="116" t="s">
        <v>9</v>
      </c>
      <c r="F39" s="116"/>
      <c r="G39" s="132">
        <f>SUM(G32:G38)</f>
        <v>521.42598206305024</v>
      </c>
      <c r="H39" s="91" t="s">
        <v>10</v>
      </c>
      <c r="I39" s="83" t="str">
        <f>IF(AND(I32="",I38="",E28=""),"","One or more parameters above need to be adjusted")</f>
        <v/>
      </c>
      <c r="K39" s="24"/>
      <c r="L39" s="24"/>
    </row>
    <row r="40" spans="1:12" ht="15.75" customHeight="1" x14ac:dyDescent="0.2">
      <c r="A40" s="461" t="s">
        <v>153</v>
      </c>
      <c r="B40" s="461"/>
      <c r="C40" s="233" t="s">
        <v>151</v>
      </c>
    </row>
    <row r="41" spans="1:12" ht="29.25" customHeight="1" x14ac:dyDescent="0.2">
      <c r="A41" s="462" t="s">
        <v>217</v>
      </c>
      <c r="B41" s="463"/>
      <c r="C41" s="154">
        <f>IF(C40="Lead",ABS(G39/0.912/2),IF(C40="Stainless Steel",ABS(G39/0.875/2),""))</f>
        <v>297.9577040360287</v>
      </c>
    </row>
    <row r="42" spans="1:12" ht="9" customHeight="1" x14ac:dyDescent="0.2">
      <c r="A42" s="464"/>
      <c r="B42" s="464"/>
      <c r="C42" s="170"/>
    </row>
    <row r="43" spans="1:12" ht="15.75" customHeight="1" x14ac:dyDescent="0.2">
      <c r="A43" s="452" t="s">
        <v>131</v>
      </c>
      <c r="B43" s="453"/>
      <c r="C43" s="234" t="s">
        <v>134</v>
      </c>
      <c r="D43" s="451" t="s">
        <v>160</v>
      </c>
      <c r="E43" s="451"/>
    </row>
    <row r="44" spans="1:12" ht="15.75" customHeight="1" x14ac:dyDescent="0.2">
      <c r="A44" s="452" t="s">
        <v>136</v>
      </c>
      <c r="B44" s="453"/>
      <c r="C44" s="153" t="str">
        <f>IF(C43="Lithium","Lithium Pitch Pack",IF(C43="Alkaline","Alkaline Pitch Pack",""))</f>
        <v>Lithium Pitch Pack</v>
      </c>
      <c r="D44" s="454">
        <v>8.9830000000000005</v>
      </c>
      <c r="E44" s="454"/>
    </row>
    <row r="45" spans="1:12" ht="27" customHeight="1" x14ac:dyDescent="0.2">
      <c r="A45" s="465" t="s">
        <v>193</v>
      </c>
      <c r="B45" s="463"/>
      <c r="C45" s="261" t="s">
        <v>198</v>
      </c>
      <c r="D45" s="466">
        <v>9</v>
      </c>
      <c r="E45" s="467"/>
    </row>
    <row r="46" spans="1:12" ht="15.75" customHeight="1" x14ac:dyDescent="0.2">
      <c r="A46" s="452" t="s">
        <v>135</v>
      </c>
      <c r="B46" s="453"/>
      <c r="C46" s="246" t="s">
        <v>199</v>
      </c>
      <c r="D46" s="455">
        <v>10.1</v>
      </c>
      <c r="E46" s="454"/>
    </row>
    <row r="47" spans="1:12" ht="29.25" customHeight="1" x14ac:dyDescent="0.2">
      <c r="A47" s="452" t="s">
        <v>137</v>
      </c>
      <c r="B47" s="453"/>
      <c r="C47" s="258" t="s">
        <v>200</v>
      </c>
      <c r="D47" s="454">
        <v>0.20599999999999999</v>
      </c>
      <c r="E47" s="454"/>
    </row>
    <row r="48" spans="1:12" ht="19.5" customHeight="1" thickBot="1" x14ac:dyDescent="0.25">
      <c r="A48" s="470" t="s">
        <v>216</v>
      </c>
      <c r="B48" s="470"/>
      <c r="C48" s="470"/>
      <c r="D48" s="470"/>
      <c r="E48" s="470"/>
      <c r="F48" s="470"/>
      <c r="G48" s="470"/>
      <c r="H48" s="470"/>
    </row>
    <row r="49" spans="1:9" ht="15.75" customHeight="1" thickTop="1" x14ac:dyDescent="0.2">
      <c r="A49" s="251" t="s">
        <v>158</v>
      </c>
      <c r="B49" s="252"/>
      <c r="C49" s="250"/>
      <c r="D49" s="250"/>
      <c r="E49" s="250"/>
      <c r="F49" s="250"/>
      <c r="G49" s="250"/>
      <c r="H49" s="250"/>
    </row>
    <row r="50" spans="1:9" ht="5.25" customHeight="1" x14ac:dyDescent="0.2"/>
    <row r="51" spans="1:9" ht="15.75" customHeight="1" x14ac:dyDescent="0.2">
      <c r="A51" s="457" t="s">
        <v>273</v>
      </c>
      <c r="B51" s="458"/>
      <c r="C51" s="458"/>
      <c r="D51" s="458"/>
      <c r="E51" s="458"/>
      <c r="F51" s="458"/>
      <c r="G51" s="458"/>
    </row>
    <row r="52" spans="1:9" ht="15.75" customHeight="1" x14ac:dyDescent="0.2">
      <c r="A52" s="457" t="s">
        <v>274</v>
      </c>
      <c r="B52" s="458"/>
      <c r="C52" s="458"/>
      <c r="D52" s="458"/>
      <c r="E52" s="458"/>
      <c r="F52" s="458"/>
      <c r="G52" s="458"/>
    </row>
    <row r="53" spans="1:9" ht="15.75" customHeight="1" x14ac:dyDescent="0.2">
      <c r="A53" s="457" t="s">
        <v>275</v>
      </c>
      <c r="B53" s="458"/>
      <c r="C53" s="458"/>
      <c r="D53" s="458"/>
      <c r="E53" s="458"/>
      <c r="F53" s="458"/>
      <c r="G53" s="458"/>
    </row>
    <row r="54" spans="1:9" ht="15.75" customHeight="1" x14ac:dyDescent="0.2">
      <c r="A54" s="457" t="s">
        <v>276</v>
      </c>
      <c r="B54" s="458"/>
      <c r="C54" s="458"/>
      <c r="D54" s="458"/>
      <c r="E54" s="458"/>
      <c r="F54" s="458"/>
      <c r="G54" s="458"/>
    </row>
    <row r="55" spans="1:9" ht="14.25" customHeight="1" x14ac:dyDescent="0.2">
      <c r="A55" s="112" t="s">
        <v>277</v>
      </c>
      <c r="B55" s="412"/>
      <c r="C55" s="412"/>
      <c r="D55" s="412"/>
      <c r="E55" s="412"/>
      <c r="F55" s="412"/>
      <c r="G55" s="412"/>
    </row>
    <row r="56" spans="1:9" ht="14.25" customHeight="1" x14ac:dyDescent="0.2">
      <c r="A56" s="112" t="s">
        <v>278</v>
      </c>
      <c r="B56" s="412"/>
      <c r="C56" s="412"/>
      <c r="D56" s="412"/>
      <c r="E56" s="412"/>
      <c r="F56" s="412"/>
      <c r="G56" s="412"/>
    </row>
    <row r="57" spans="1:9" ht="14.25" customHeight="1" x14ac:dyDescent="0.2">
      <c r="A57" s="412"/>
      <c r="B57" s="412"/>
      <c r="C57" s="412"/>
      <c r="D57" s="412"/>
      <c r="E57" s="412"/>
      <c r="F57" s="412"/>
      <c r="G57" s="412"/>
    </row>
    <row r="58" spans="1:9" ht="13.5" customHeight="1" x14ac:dyDescent="0.2">
      <c r="B58" s="412"/>
      <c r="C58" s="412"/>
      <c r="D58" s="412"/>
      <c r="E58" s="412"/>
      <c r="F58" s="412"/>
      <c r="G58" s="412"/>
    </row>
    <row r="59" spans="1:9" ht="13.5" customHeight="1" x14ac:dyDescent="0.2">
      <c r="A59" s="412"/>
      <c r="B59" s="412"/>
      <c r="C59" s="412"/>
      <c r="D59" s="412"/>
      <c r="E59" s="412"/>
      <c r="F59" s="412"/>
      <c r="G59" s="412"/>
    </row>
    <row r="60" spans="1:9" ht="15.75" customHeight="1" x14ac:dyDescent="0.2"/>
    <row r="61" spans="1:9" ht="15.75" customHeight="1" x14ac:dyDescent="0.2">
      <c r="A61" s="446" t="s">
        <v>264</v>
      </c>
      <c r="B61" s="447"/>
      <c r="C61" s="119">
        <v>0</v>
      </c>
      <c r="D61" s="91" t="s">
        <v>19</v>
      </c>
      <c r="E61" s="133"/>
      <c r="F61" s="348" t="s">
        <v>268</v>
      </c>
      <c r="G61" s="402"/>
      <c r="H61" s="112" t="s">
        <v>242</v>
      </c>
      <c r="I61" s="401"/>
    </row>
    <row r="62" spans="1:9" ht="15.75" customHeight="1" x14ac:dyDescent="0.2">
      <c r="A62" s="446" t="s">
        <v>265</v>
      </c>
      <c r="B62" s="447"/>
      <c r="C62" s="134">
        <v>0</v>
      </c>
      <c r="D62" s="91" t="s">
        <v>19</v>
      </c>
      <c r="E62" s="133"/>
      <c r="F62" s="348" t="s">
        <v>269</v>
      </c>
      <c r="G62" s="402"/>
      <c r="H62" s="112" t="s">
        <v>272</v>
      </c>
      <c r="I62" s="401"/>
    </row>
    <row r="63" spans="1:9" ht="15.75" customHeight="1" x14ac:dyDescent="0.2">
      <c r="A63" s="446" t="s">
        <v>266</v>
      </c>
      <c r="B63" s="446"/>
      <c r="C63" s="410">
        <f>AVERAGE(C61:C62)</f>
        <v>0</v>
      </c>
      <c r="D63" s="112" t="s">
        <v>19</v>
      </c>
      <c r="E63" s="135"/>
      <c r="F63" s="348" t="s">
        <v>267</v>
      </c>
      <c r="G63" s="402"/>
      <c r="H63" s="112" t="s">
        <v>10</v>
      </c>
      <c r="I63" s="401"/>
    </row>
    <row r="64" spans="1:9" ht="15.75" customHeight="1" x14ac:dyDescent="0.2">
      <c r="A64" s="446" t="s">
        <v>264</v>
      </c>
      <c r="B64" s="447"/>
      <c r="C64" s="409">
        <f>DEGREES(C61)</f>
        <v>0</v>
      </c>
      <c r="D64" s="112" t="s">
        <v>26</v>
      </c>
      <c r="E64" s="133"/>
      <c r="I64" s="401"/>
    </row>
    <row r="65" spans="1:9" ht="15.75" customHeight="1" x14ac:dyDescent="0.2">
      <c r="A65" s="446" t="s">
        <v>265</v>
      </c>
      <c r="B65" s="447"/>
      <c r="C65" s="409">
        <f>DEGREES(C62)</f>
        <v>0</v>
      </c>
      <c r="D65" s="112" t="s">
        <v>26</v>
      </c>
      <c r="E65" s="133"/>
      <c r="I65" s="401"/>
    </row>
    <row r="66" spans="1:9" ht="15.75" customHeight="1" x14ac:dyDescent="0.2">
      <c r="A66" s="446" t="s">
        <v>266</v>
      </c>
      <c r="B66" s="447"/>
      <c r="C66" s="137">
        <f>AVERAGE(C64:C65)</f>
        <v>0</v>
      </c>
      <c r="D66" s="91" t="s">
        <v>26</v>
      </c>
      <c r="E66" s="135"/>
      <c r="I66" s="401"/>
    </row>
    <row r="67" spans="1:9" ht="26.25" customHeight="1" x14ac:dyDescent="0.2">
      <c r="A67" s="449" t="s">
        <v>138</v>
      </c>
      <c r="B67" s="450"/>
      <c r="C67" s="138">
        <v>111</v>
      </c>
      <c r="D67" s="91" t="s">
        <v>11</v>
      </c>
      <c r="E67" s="133" t="str">
        <f>IF(C67&lt;107,"Error: distance should be greater than radius of hull",IF(C67&gt;600,"Error: distance too high.",""))</f>
        <v/>
      </c>
      <c r="G67" s="21"/>
    </row>
    <row r="68" spans="1:9" ht="15.75" customHeight="1" x14ac:dyDescent="0.2">
      <c r="A68" s="446" t="s">
        <v>27</v>
      </c>
      <c r="B68" s="446"/>
      <c r="C68" s="446"/>
      <c r="E68" s="135"/>
      <c r="G68" s="21">
        <f>PRODUCT(G63,C67,COS(C63))</f>
        <v>111</v>
      </c>
    </row>
    <row r="69" spans="1:9" ht="15.75" customHeight="1" x14ac:dyDescent="0.2">
      <c r="A69" s="145"/>
      <c r="B69" s="151"/>
      <c r="C69" s="139"/>
      <c r="E69" s="135"/>
      <c r="F69" s="411" t="s">
        <v>270</v>
      </c>
      <c r="G69" s="46">
        <f>PRODUCT(G61,(G62/1000))</f>
        <v>0</v>
      </c>
      <c r="H69" s="112" t="s">
        <v>10</v>
      </c>
      <c r="I69" s="401" t="s">
        <v>271</v>
      </c>
    </row>
    <row r="70" spans="1:9" ht="15.75" customHeight="1" x14ac:dyDescent="0.2">
      <c r="A70" s="448" t="s">
        <v>12</v>
      </c>
      <c r="B70" s="456"/>
      <c r="C70" s="418" t="e">
        <f>PRODUCT(G68,G70)</f>
        <v>#DIV/0!</v>
      </c>
      <c r="D70" s="91" t="s">
        <v>11</v>
      </c>
      <c r="E70" s="135"/>
      <c r="G70" s="21" t="e">
        <f>POWER(PRODUCT(G69,SIN(C63)),-1)</f>
        <v>#DIV/0!</v>
      </c>
    </row>
    <row r="71" spans="1:9" ht="15.75" customHeight="1" x14ac:dyDescent="0.2">
      <c r="A71" s="150"/>
      <c r="B71" s="151"/>
      <c r="C71" s="140"/>
      <c r="E71" s="135"/>
      <c r="G71" s="21"/>
    </row>
    <row r="72" spans="1:9" ht="15.75" customHeight="1" x14ac:dyDescent="0.2">
      <c r="A72" s="448" t="s">
        <v>21</v>
      </c>
      <c r="B72" s="456"/>
      <c r="C72" s="236">
        <f>D44</f>
        <v>8.9830000000000005</v>
      </c>
      <c r="D72" s="91" t="s">
        <v>18</v>
      </c>
      <c r="E72" s="133" t="str">
        <f>IF(C72=0,"",IF(C72&lt;4,"Error: weight of pitch battery too low. Re-check",IF(C72&gt;12,"Error: weight of pitch battery too high.  Re-check.","")))</f>
        <v/>
      </c>
      <c r="G72" s="21"/>
    </row>
    <row r="73" spans="1:9" ht="26.25" customHeight="1" x14ac:dyDescent="0.2">
      <c r="A73" s="449" t="s">
        <v>139</v>
      </c>
      <c r="B73" s="450"/>
      <c r="C73" s="136">
        <v>1</v>
      </c>
      <c r="D73" s="91" t="s">
        <v>20</v>
      </c>
      <c r="E73" s="133" t="str">
        <f>IF(C73=1,"","Error: range of pitch battery is usually +/- 1 inch")</f>
        <v/>
      </c>
      <c r="G73" s="21"/>
    </row>
    <row r="74" spans="1:9" ht="15.75" customHeight="1" x14ac:dyDescent="0.2">
      <c r="A74" s="446" t="s">
        <v>13</v>
      </c>
      <c r="B74" s="447"/>
      <c r="C74" s="137" t="e">
        <f>DEGREES(ATAN((C72*25.4*C73/C28)/C70))</f>
        <v>#DIV/0!</v>
      </c>
      <c r="D74" s="91" t="s">
        <v>14</v>
      </c>
      <c r="E74" s="135"/>
      <c r="G74" s="21"/>
    </row>
    <row r="75" spans="1:9" ht="15.75" customHeight="1" x14ac:dyDescent="0.2">
      <c r="A75" s="309"/>
      <c r="B75" s="310"/>
      <c r="C75" s="140"/>
      <c r="E75" s="135"/>
      <c r="G75" s="21"/>
    </row>
    <row r="76" spans="1:9" ht="15.75" customHeight="1" x14ac:dyDescent="0.2">
      <c r="A76" s="141" t="s">
        <v>159</v>
      </c>
      <c r="E76" s="135"/>
      <c r="G76" s="21"/>
    </row>
    <row r="77" spans="1:9" ht="5.25" customHeight="1" x14ac:dyDescent="0.2">
      <c r="E77" s="135"/>
      <c r="G77" s="21"/>
    </row>
    <row r="78" spans="1:9" ht="15.75" customHeight="1" x14ac:dyDescent="0.2">
      <c r="A78" s="91" t="s">
        <v>80</v>
      </c>
      <c r="E78" s="135"/>
      <c r="G78" s="21"/>
    </row>
    <row r="79" spans="1:9" ht="15.75" customHeight="1" x14ac:dyDescent="0.2">
      <c r="A79" s="91" t="s">
        <v>16</v>
      </c>
      <c r="E79" s="135"/>
      <c r="G79" s="21"/>
    </row>
    <row r="80" spans="1:9" ht="15.75" customHeight="1" x14ac:dyDescent="0.2">
      <c r="A80" s="91" t="s">
        <v>77</v>
      </c>
      <c r="E80" s="135"/>
      <c r="G80" s="21"/>
    </row>
    <row r="81" spans="1:7" ht="15.75" customHeight="1" x14ac:dyDescent="0.2">
      <c r="A81" s="91" t="s">
        <v>17</v>
      </c>
      <c r="E81" s="135"/>
      <c r="G81" s="21"/>
    </row>
    <row r="82" spans="1:7" ht="5.25" customHeight="1" x14ac:dyDescent="0.2">
      <c r="E82" s="135"/>
      <c r="G82" s="21"/>
    </row>
    <row r="83" spans="1:7" ht="15.75" customHeight="1" x14ac:dyDescent="0.2">
      <c r="A83" s="446" t="s">
        <v>21</v>
      </c>
      <c r="B83" s="447"/>
      <c r="C83" s="237">
        <f>D44</f>
        <v>8.9830000000000005</v>
      </c>
      <c r="D83" s="91" t="s">
        <v>18</v>
      </c>
      <c r="E83" s="133" t="str">
        <f>IF(C83=0,"",IF(C83&lt;4,"Error: weight of pitch battery too low. Re-check",IF(C83&gt;12,"Error: weight of pitch battery too high.  Re-check.","")))</f>
        <v/>
      </c>
      <c r="G83" s="21"/>
    </row>
    <row r="84" spans="1:7" ht="15.75" customHeight="1" x14ac:dyDescent="0.2">
      <c r="A84" s="446" t="s">
        <v>22</v>
      </c>
      <c r="B84" s="447"/>
      <c r="C84" s="142">
        <v>-0.21082000000000001</v>
      </c>
      <c r="D84" s="91" t="s">
        <v>19</v>
      </c>
      <c r="E84" s="133" t="str">
        <f>IF(ABS(C84&lt;1.25),"","Error: starting pitch too high.  Re-check.")</f>
        <v/>
      </c>
      <c r="G84" s="21"/>
    </row>
    <row r="85" spans="1:7" ht="15.75" customHeight="1" x14ac:dyDescent="0.2">
      <c r="A85" s="446" t="s">
        <v>23</v>
      </c>
      <c r="B85" s="447"/>
      <c r="C85" s="142">
        <v>4.9099999999999998E-2</v>
      </c>
      <c r="D85" s="91" t="s">
        <v>20</v>
      </c>
      <c r="E85" s="133" t="str">
        <f>IF(ABS(C85)&gt;1.1,"Error, battery position out of range","")</f>
        <v/>
      </c>
      <c r="G85" s="21"/>
    </row>
    <row r="86" spans="1:7" ht="15.75" customHeight="1" x14ac:dyDescent="0.2">
      <c r="A86" s="446" t="s">
        <v>24</v>
      </c>
      <c r="B86" s="447"/>
      <c r="C86" s="142">
        <v>-0.32050000000000001</v>
      </c>
      <c r="D86" s="91" t="s">
        <v>19</v>
      </c>
      <c r="E86" s="133" t="str">
        <f>IF(ABS(C86&lt;1.25),"","Error: starting pitch too high.  Re-check.")</f>
        <v/>
      </c>
      <c r="G86" s="21"/>
    </row>
    <row r="87" spans="1:7" ht="15.75" customHeight="1" x14ac:dyDescent="0.2">
      <c r="A87" s="446" t="s">
        <v>25</v>
      </c>
      <c r="B87" s="447"/>
      <c r="C87" s="142">
        <v>0.28989999999999999</v>
      </c>
      <c r="D87" s="91" t="s">
        <v>20</v>
      </c>
      <c r="E87" s="133" t="str">
        <f>IF(ABS(C87)&gt;1.1,"Error, battery position out of range","")</f>
        <v/>
      </c>
      <c r="G87" s="21"/>
    </row>
    <row r="88" spans="1:7" ht="15.75" customHeight="1" x14ac:dyDescent="0.2">
      <c r="A88" s="152"/>
      <c r="B88" s="151"/>
      <c r="E88" s="135"/>
      <c r="G88" s="21"/>
    </row>
    <row r="89" spans="1:7" ht="15.75" customHeight="1" x14ac:dyDescent="0.2">
      <c r="A89" s="448" t="s">
        <v>32</v>
      </c>
      <c r="B89" s="448"/>
      <c r="C89" s="235">
        <f>ABS(1000*25.4*(C85-C87)*(C83+0.1)/(C29*C38*TAN(C84-C86)))</f>
        <v>6.9508532317544969</v>
      </c>
      <c r="D89" s="123" t="s">
        <v>11</v>
      </c>
      <c r="E89" s="135"/>
      <c r="G89" s="21"/>
    </row>
    <row r="90" spans="1:7" ht="8.25" customHeight="1" x14ac:dyDescent="0.2">
      <c r="A90" s="152"/>
      <c r="B90" s="151"/>
      <c r="E90" s="135"/>
      <c r="G90" s="21"/>
    </row>
    <row r="91" spans="1:7" ht="26.25" customHeight="1" x14ac:dyDescent="0.2">
      <c r="A91" s="449" t="s">
        <v>139</v>
      </c>
      <c r="B91" s="450"/>
      <c r="C91" s="136">
        <v>1</v>
      </c>
      <c r="D91" s="91" t="s">
        <v>20</v>
      </c>
      <c r="E91" s="133" t="str">
        <f>IF(C91=1,"","Error: range of pitch battery is usually +/- 1 inch")</f>
        <v/>
      </c>
      <c r="G91" s="21"/>
    </row>
    <row r="92" spans="1:7" ht="15.75" customHeight="1" x14ac:dyDescent="0.2">
      <c r="A92" s="446" t="s">
        <v>13</v>
      </c>
      <c r="B92" s="447"/>
      <c r="C92" s="137">
        <f>DEGREES(ATAN((C91*25.4*C83/C28)/C89))</f>
        <v>35.497717620473999</v>
      </c>
      <c r="D92" s="91" t="s">
        <v>14</v>
      </c>
      <c r="G92" s="21"/>
    </row>
    <row r="93" spans="1:7" ht="15.75" customHeight="1" x14ac:dyDescent="0.2">
      <c r="A93" s="116"/>
      <c r="B93" s="140"/>
      <c r="D93" s="110"/>
      <c r="E93" s="320"/>
      <c r="F93" s="110"/>
      <c r="G93" s="318"/>
    </row>
    <row r="94" spans="1:7" ht="15.75" customHeight="1" thickBot="1" x14ac:dyDescent="0.25">
      <c r="A94" s="116"/>
      <c r="B94" s="140"/>
      <c r="D94" s="110" t="s">
        <v>140</v>
      </c>
      <c r="E94" s="179"/>
      <c r="F94" s="110" t="s">
        <v>1</v>
      </c>
      <c r="G94" s="180"/>
    </row>
  </sheetData>
  <mergeCells count="56">
    <mergeCell ref="E7:H7"/>
    <mergeCell ref="A7:D7"/>
    <mergeCell ref="A14:B14"/>
    <mergeCell ref="A15:B15"/>
    <mergeCell ref="A16:B16"/>
    <mergeCell ref="A13:B13"/>
    <mergeCell ref="A10:H10"/>
    <mergeCell ref="A9:H9"/>
    <mergeCell ref="A11:H11"/>
    <mergeCell ref="A28:B28"/>
    <mergeCell ref="A29:B29"/>
    <mergeCell ref="A51:G51"/>
    <mergeCell ref="A52:G52"/>
    <mergeCell ref="A17:A24"/>
    <mergeCell ref="A48:H48"/>
    <mergeCell ref="A32:B32"/>
    <mergeCell ref="A54:G54"/>
    <mergeCell ref="A61:B61"/>
    <mergeCell ref="A53:G53"/>
    <mergeCell ref="A33:B33"/>
    <mergeCell ref="A34:B34"/>
    <mergeCell ref="A35:B35"/>
    <mergeCell ref="A37:B37"/>
    <mergeCell ref="A38:B38"/>
    <mergeCell ref="A40:B40"/>
    <mergeCell ref="A41:B41"/>
    <mergeCell ref="A42:B42"/>
    <mergeCell ref="A45:B45"/>
    <mergeCell ref="D45:E45"/>
    <mergeCell ref="A62:B62"/>
    <mergeCell ref="A64:B64"/>
    <mergeCell ref="A65:B65"/>
    <mergeCell ref="A66:B66"/>
    <mergeCell ref="A86:B86"/>
    <mergeCell ref="A67:B67"/>
    <mergeCell ref="A68:C68"/>
    <mergeCell ref="A70:B70"/>
    <mergeCell ref="A72:B72"/>
    <mergeCell ref="A73:B73"/>
    <mergeCell ref="A63:B63"/>
    <mergeCell ref="A87:B87"/>
    <mergeCell ref="A89:B89"/>
    <mergeCell ref="A91:B91"/>
    <mergeCell ref="A92:B92"/>
    <mergeCell ref="D43:E43"/>
    <mergeCell ref="A43:B43"/>
    <mergeCell ref="A44:B44"/>
    <mergeCell ref="A46:B46"/>
    <mergeCell ref="A47:B47"/>
    <mergeCell ref="D44:E44"/>
    <mergeCell ref="D46:E46"/>
    <mergeCell ref="D47:E47"/>
    <mergeCell ref="A74:B74"/>
    <mergeCell ref="A83:B83"/>
    <mergeCell ref="A84:B84"/>
    <mergeCell ref="A85:B85"/>
  </mergeCells>
  <phoneticPr fontId="0" type="noConversion"/>
  <dataValidations count="7">
    <dataValidation type="list" allowBlank="1" showInputMessage="1" promptTitle="Select Glider Type" prompt="from drop-down menu" sqref="C16">
      <formula1>glider_type</formula1>
    </dataValidation>
    <dataValidation type="list" allowBlank="1" showInputMessage="1" showErrorMessage="1" promptTitle="Select Battery Type" prompt="from drop-down menu" sqref="C43">
      <formula1>battery_type</formula1>
    </dataValidation>
    <dataValidation type="list" allowBlank="1" showInputMessage="1" promptTitle="Select Aft Configuration" prompt="from drop-down menu" sqref="C46">
      <formula1>aft_config</formula1>
    </dataValidation>
    <dataValidation type="list" allowBlank="1" showInputMessage="1" promptTitle="Select Nose Configuration" prompt="from drop-down menu" sqref="C47">
      <formula1>nose_config</formula1>
    </dataValidation>
    <dataValidation type="list" allowBlank="1" showInputMessage="1" showErrorMessage="1" promptTitle="Select Weight Material" prompt="from the drop-down menu" sqref="C40">
      <formula1>weight_type</formula1>
    </dataValidation>
    <dataValidation type="list" allowBlank="1" showInputMessage="1" promptTitle="Select Pond Wings" prompt="from drop-down menu" sqref="C25">
      <formula1>pond_wings</formula1>
    </dataValidation>
    <dataValidation type="list" allowBlank="1" showInputMessage="1" promptTitle="Select Pinger" prompt="from drop-down menu" sqref="C26">
      <formula1>pinger_style</formula1>
    </dataValidation>
  </dataValidations>
  <pageMargins left="0.75" right="0.25" top="0.25" bottom="0.75" header="0.3" footer="0.3"/>
  <pageSetup scale="75" orientation="portrait" horizontalDpi="1200" verticalDpi="1200" r:id="rId1"/>
  <headerFooter alignWithMargins="0"/>
  <rowBreaks count="1" manualBreakCount="1">
    <brk id="48"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Check Box 10">
              <controlPr defaultSize="0" autoFill="0" autoLine="0" autoPict="0">
                <anchor moveWithCells="1">
                  <from>
                    <xdr:col>2</xdr:col>
                    <xdr:colOff>466725</xdr:colOff>
                    <xdr:row>18</xdr:row>
                    <xdr:rowOff>85725</xdr:rowOff>
                  </from>
                  <to>
                    <xdr:col>2</xdr:col>
                    <xdr:colOff>704850</xdr:colOff>
                    <xdr:row>18</xdr:row>
                    <xdr:rowOff>247650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2</xdr:col>
                    <xdr:colOff>285750</xdr:colOff>
                    <xdr:row>17</xdr:row>
                    <xdr:rowOff>85725</xdr:rowOff>
                  </from>
                  <to>
                    <xdr:col>2</xdr:col>
                    <xdr:colOff>504825</xdr:colOff>
                    <xdr:row>17</xdr:row>
                    <xdr:rowOff>257175</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2</xdr:col>
                    <xdr:colOff>295275</xdr:colOff>
                    <xdr:row>19</xdr:row>
                    <xdr:rowOff>85725</xdr:rowOff>
                  </from>
                  <to>
                    <xdr:col>2</xdr:col>
                    <xdr:colOff>514350</xdr:colOff>
                    <xdr:row>19</xdr:row>
                    <xdr:rowOff>247650</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2</xdr:col>
                    <xdr:colOff>285750</xdr:colOff>
                    <xdr:row>16</xdr:row>
                    <xdr:rowOff>57150</xdr:rowOff>
                  </from>
                  <to>
                    <xdr:col>2</xdr:col>
                    <xdr:colOff>514350</xdr:colOff>
                    <xdr:row>16</xdr:row>
                    <xdr:rowOff>285750</xdr:rowOff>
                  </to>
                </anchor>
              </controlPr>
            </control>
          </mc:Choice>
        </mc:AlternateContent>
        <mc:AlternateContent xmlns:mc="http://schemas.openxmlformats.org/markup-compatibility/2006">
          <mc:Choice Requires="x14">
            <control shapeId="1041" r:id="rId8" name="Check Box 17">
              <controlPr defaultSize="0" autoFill="0" autoLine="0" autoPict="0">
                <anchor moveWithCells="1">
                  <from>
                    <xdr:col>2</xdr:col>
                    <xdr:colOff>923925</xdr:colOff>
                    <xdr:row>16</xdr:row>
                    <xdr:rowOff>57150</xdr:rowOff>
                  </from>
                  <to>
                    <xdr:col>3</xdr:col>
                    <xdr:colOff>0</xdr:colOff>
                    <xdr:row>16</xdr:row>
                    <xdr:rowOff>285750</xdr:rowOff>
                  </to>
                </anchor>
              </controlPr>
            </control>
          </mc:Choice>
        </mc:AlternateContent>
        <mc:AlternateContent xmlns:mc="http://schemas.openxmlformats.org/markup-compatibility/2006">
          <mc:Choice Requires="x14">
            <control shapeId="1044" r:id="rId9" name="Check Box 20">
              <controlPr defaultSize="0" autoFill="0" autoLine="0" autoPict="0">
                <anchor moveWithCells="1">
                  <from>
                    <xdr:col>2</xdr:col>
                    <xdr:colOff>933450</xdr:colOff>
                    <xdr:row>17</xdr:row>
                    <xdr:rowOff>85725</xdr:rowOff>
                  </from>
                  <to>
                    <xdr:col>2</xdr:col>
                    <xdr:colOff>1152525</xdr:colOff>
                    <xdr:row>17</xdr:row>
                    <xdr:rowOff>257175</xdr:rowOff>
                  </to>
                </anchor>
              </controlPr>
            </control>
          </mc:Choice>
        </mc:AlternateContent>
        <mc:AlternateContent xmlns:mc="http://schemas.openxmlformats.org/markup-compatibility/2006">
          <mc:Choice Requires="x14">
            <control shapeId="1056" r:id="rId10" name="Check Box 32">
              <controlPr defaultSize="0" autoFill="0" autoLine="0" autoPict="0">
                <anchor moveWithCells="1">
                  <from>
                    <xdr:col>2</xdr:col>
                    <xdr:colOff>466725</xdr:colOff>
                    <xdr:row>21</xdr:row>
                    <xdr:rowOff>85725</xdr:rowOff>
                  </from>
                  <to>
                    <xdr:col>2</xdr:col>
                    <xdr:colOff>685800</xdr:colOff>
                    <xdr:row>21</xdr:row>
                    <xdr:rowOff>247650</xdr:rowOff>
                  </to>
                </anchor>
              </controlPr>
            </control>
          </mc:Choice>
        </mc:AlternateContent>
        <mc:AlternateContent xmlns:mc="http://schemas.openxmlformats.org/markup-compatibility/2006">
          <mc:Choice Requires="x14">
            <control shapeId="1058" r:id="rId11" name="Check Box 34">
              <controlPr defaultSize="0" autoFill="0" autoLine="0" autoPict="0">
                <anchor moveWithCells="1">
                  <from>
                    <xdr:col>2</xdr:col>
                    <xdr:colOff>466725</xdr:colOff>
                    <xdr:row>20</xdr:row>
                    <xdr:rowOff>85725</xdr:rowOff>
                  </from>
                  <to>
                    <xdr:col>2</xdr:col>
                    <xdr:colOff>685800</xdr:colOff>
                    <xdr:row>20</xdr:row>
                    <xdr:rowOff>247650</xdr:rowOff>
                  </to>
                </anchor>
              </controlPr>
            </control>
          </mc:Choice>
        </mc:AlternateContent>
        <mc:AlternateContent xmlns:mc="http://schemas.openxmlformats.org/markup-compatibility/2006">
          <mc:Choice Requires="x14">
            <control shapeId="1062" r:id="rId12" name="Check Box 38">
              <controlPr defaultSize="0" autoFill="0" autoLine="0" autoPict="0">
                <anchor moveWithCells="1">
                  <from>
                    <xdr:col>2</xdr:col>
                    <xdr:colOff>466725</xdr:colOff>
                    <xdr:row>22</xdr:row>
                    <xdr:rowOff>85725</xdr:rowOff>
                  </from>
                  <to>
                    <xdr:col>2</xdr:col>
                    <xdr:colOff>685800</xdr:colOff>
                    <xdr:row>22</xdr:row>
                    <xdr:rowOff>247650</xdr:rowOff>
                  </to>
                </anchor>
              </controlPr>
            </control>
          </mc:Choice>
        </mc:AlternateContent>
        <mc:AlternateContent xmlns:mc="http://schemas.openxmlformats.org/markup-compatibility/2006">
          <mc:Choice Requires="x14">
            <control shapeId="1064" r:id="rId13" name="Check Box 40">
              <controlPr defaultSize="0" autoFill="0" autoLine="0" autoPict="0">
                <anchor moveWithCells="1">
                  <from>
                    <xdr:col>2</xdr:col>
                    <xdr:colOff>466725</xdr:colOff>
                    <xdr:row>23</xdr:row>
                    <xdr:rowOff>85725</xdr:rowOff>
                  </from>
                  <to>
                    <xdr:col>2</xdr:col>
                    <xdr:colOff>685800</xdr:colOff>
                    <xdr:row>23</xdr:row>
                    <xdr:rowOff>247650</xdr:rowOff>
                  </to>
                </anchor>
              </controlPr>
            </control>
          </mc:Choice>
        </mc:AlternateContent>
        <mc:AlternateContent xmlns:mc="http://schemas.openxmlformats.org/markup-compatibility/2006">
          <mc:Choice Requires="x14">
            <control shapeId="1065" r:id="rId14" name="Check Box 41">
              <controlPr defaultSize="0" autoFill="0" autoLine="0" autoPict="0">
                <anchor moveWithCells="1">
                  <from>
                    <xdr:col>2</xdr:col>
                    <xdr:colOff>942975</xdr:colOff>
                    <xdr:row>19</xdr:row>
                    <xdr:rowOff>85725</xdr:rowOff>
                  </from>
                  <to>
                    <xdr:col>3</xdr:col>
                    <xdr:colOff>0</xdr:colOff>
                    <xdr:row>19</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Constants!$E$2:$E$3</xm:f>
          </x14:formula1>
          <xm:sqref>C45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5"/>
  <sheetViews>
    <sheetView topLeftCell="A13" zoomScaleNormal="100" zoomScaleSheetLayoutView="115" workbookViewId="0">
      <selection activeCell="G8" sqref="G8"/>
    </sheetView>
  </sheetViews>
  <sheetFormatPr defaultColWidth="9.140625" defaultRowHeight="12.75" x14ac:dyDescent="0.2"/>
  <cols>
    <col min="1" max="1" width="1" style="92" customWidth="1"/>
    <col min="2" max="2" width="25.85546875" style="92" customWidth="1"/>
    <col min="3" max="3" width="14.7109375" style="92" customWidth="1"/>
    <col min="4" max="5" width="13.28515625" style="92" customWidth="1"/>
    <col min="6" max="6" width="24.42578125" style="92" customWidth="1"/>
    <col min="7" max="7" width="15.7109375" style="92" customWidth="1"/>
    <col min="8" max="8" width="3.7109375" style="92" customWidth="1"/>
    <col min="9" max="16384" width="9.140625" style="92"/>
  </cols>
  <sheetData>
    <row r="1" spans="1:8" customFormat="1" ht="20.25" customHeight="1" x14ac:dyDescent="0.2">
      <c r="B1" s="21"/>
      <c r="C1" s="21"/>
      <c r="D1" s="21"/>
      <c r="E1" s="91"/>
      <c r="F1" s="171" t="s">
        <v>155</v>
      </c>
      <c r="G1" s="172" t="str">
        <f>Ballast!$H$1</f>
        <v>4095-GBPSH</v>
      </c>
      <c r="H1" s="21"/>
    </row>
    <row r="2" spans="1:8" customFormat="1" ht="20.25" customHeight="1" x14ac:dyDescent="0.2">
      <c r="B2" s="21"/>
      <c r="C2" s="21"/>
      <c r="D2" s="21"/>
      <c r="E2" s="91"/>
      <c r="F2" s="173" t="s">
        <v>156</v>
      </c>
      <c r="G2" s="174" t="str">
        <f>Ballast!$H$2</f>
        <v>F</v>
      </c>
      <c r="H2" s="21"/>
    </row>
    <row r="3" spans="1:8" customFormat="1" ht="20.25" customHeight="1" x14ac:dyDescent="0.2">
      <c r="B3" s="21"/>
      <c r="C3" s="21"/>
      <c r="D3" s="21"/>
      <c r="E3" s="91"/>
      <c r="F3" s="173" t="s">
        <v>1</v>
      </c>
      <c r="G3" s="175">
        <f>Ballast!$H$3</f>
        <v>41813</v>
      </c>
      <c r="H3" s="21"/>
    </row>
    <row r="4" spans="1:8" customFormat="1" ht="20.25" customHeight="1" thickBot="1" x14ac:dyDescent="0.25">
      <c r="B4" s="21"/>
      <c r="C4" s="21"/>
      <c r="D4" s="21"/>
      <c r="E4" s="91"/>
      <c r="F4" s="176" t="s">
        <v>157</v>
      </c>
      <c r="G4" s="177">
        <f>Ballast!$H$4</f>
        <v>12698</v>
      </c>
      <c r="H4" s="21"/>
    </row>
    <row r="5" spans="1:8" customFormat="1" ht="7.5" customHeight="1" thickBot="1" x14ac:dyDescent="0.25">
      <c r="B5" s="21"/>
      <c r="C5" s="21"/>
      <c r="D5" s="21"/>
      <c r="E5" s="21"/>
      <c r="F5" s="21"/>
      <c r="G5" s="21"/>
      <c r="H5" s="21"/>
    </row>
    <row r="6" spans="1:8" ht="24.75" customHeight="1" thickTop="1" x14ac:dyDescent="0.2">
      <c r="A6" s="253"/>
      <c r="B6" s="292" t="s">
        <v>92</v>
      </c>
      <c r="C6" s="178"/>
      <c r="D6" s="178"/>
      <c r="E6" s="178"/>
      <c r="F6" s="178"/>
      <c r="G6" s="178"/>
      <c r="H6" s="178"/>
    </row>
    <row r="7" spans="1:8" ht="15" customHeight="1" x14ac:dyDescent="0.2">
      <c r="B7" s="276" t="s">
        <v>0</v>
      </c>
      <c r="C7" s="277" t="str">
        <f>IF(ISBLANK(Ballast!C13),"",Ballast!C13)</f>
        <v>631</v>
      </c>
      <c r="D7" s="278"/>
      <c r="E7" s="278"/>
      <c r="F7" s="276" t="s">
        <v>236</v>
      </c>
      <c r="G7" s="444">
        <f>74411+30-304+32-60</f>
        <v>74109</v>
      </c>
      <c r="H7" s="152"/>
    </row>
    <row r="8" spans="1:8" ht="15" customHeight="1" x14ac:dyDescent="0.2">
      <c r="B8" s="276" t="s">
        <v>129</v>
      </c>
      <c r="C8" s="279" t="str">
        <f>IF(ISBLANK(Ballast!C14),"",Ballast!C14)</f>
        <v>MCB</v>
      </c>
      <c r="D8" s="280"/>
      <c r="E8" s="281"/>
      <c r="F8" s="276" t="s">
        <v>281</v>
      </c>
      <c r="G8" s="405">
        <v>38</v>
      </c>
      <c r="H8" s="152"/>
    </row>
    <row r="9" spans="1:8" ht="15" customHeight="1" x14ac:dyDescent="0.2">
      <c r="B9" s="276" t="s">
        <v>1</v>
      </c>
      <c r="C9" s="282">
        <f>Ballast!C15</f>
        <v>44397</v>
      </c>
      <c r="D9" s="280"/>
      <c r="E9" s="281"/>
      <c r="F9" s="276" t="s">
        <v>261</v>
      </c>
      <c r="G9" s="445" t="s">
        <v>321</v>
      </c>
      <c r="H9" s="145"/>
    </row>
    <row r="10" spans="1:8" ht="15" customHeight="1" x14ac:dyDescent="0.2">
      <c r="B10" s="283" t="s">
        <v>121</v>
      </c>
      <c r="C10" s="284">
        <f>IF(Ballast!C29=0,"",Ballast!C29)</f>
        <v>71.265015955607822</v>
      </c>
      <c r="D10" s="285"/>
      <c r="E10" s="281"/>
      <c r="F10" s="404" t="s">
        <v>282</v>
      </c>
      <c r="G10" s="406"/>
      <c r="H10" s="152"/>
    </row>
    <row r="11" spans="1:8" ht="15" customHeight="1" x14ac:dyDescent="0.2">
      <c r="B11" s="276" t="s">
        <v>127</v>
      </c>
      <c r="C11" s="287">
        <f>IF(ISERROR(Ballast!C70),IF(ISERROR(Ballast!C89),"",Ballast!C89),Ballast!C70)</f>
        <v>6.9508532317544969</v>
      </c>
      <c r="D11" s="281"/>
      <c r="E11" s="288"/>
      <c r="F11" s="276" t="s">
        <v>262</v>
      </c>
      <c r="G11" s="445" t="s">
        <v>322</v>
      </c>
      <c r="H11" s="152"/>
    </row>
    <row r="12" spans="1:8" ht="8.25" customHeight="1" x14ac:dyDescent="0.2">
      <c r="B12" s="286"/>
      <c r="C12" s="281"/>
      <c r="D12" s="281"/>
      <c r="E12" s="281"/>
      <c r="F12" s="281"/>
      <c r="G12" s="281"/>
      <c r="H12" s="152"/>
    </row>
    <row r="13" spans="1:8" ht="15" customHeight="1" x14ac:dyDescent="0.2">
      <c r="B13" s="286" t="s">
        <v>93</v>
      </c>
      <c r="C13" s="281"/>
      <c r="D13" s="281"/>
      <c r="E13" s="281"/>
      <c r="F13" s="286" t="s">
        <v>94</v>
      </c>
      <c r="G13" s="281"/>
      <c r="H13" s="152"/>
    </row>
    <row r="14" spans="1:8" ht="15" customHeight="1" x14ac:dyDescent="0.2">
      <c r="B14" s="289" t="s">
        <v>122</v>
      </c>
      <c r="C14" s="290">
        <f>Ballast!C32</f>
        <v>27.5</v>
      </c>
      <c r="D14" s="281"/>
      <c r="E14" s="281"/>
      <c r="F14" s="289" t="s">
        <v>122</v>
      </c>
      <c r="G14" s="290">
        <f>Ballast!E32</f>
        <v>-0.1</v>
      </c>
      <c r="H14" s="152"/>
    </row>
    <row r="15" spans="1:8" ht="15" customHeight="1" x14ac:dyDescent="0.2">
      <c r="B15" s="289" t="s">
        <v>123</v>
      </c>
      <c r="C15" s="290">
        <f>Ballast!C34</f>
        <v>4.782</v>
      </c>
      <c r="D15" s="281"/>
      <c r="E15" s="281"/>
      <c r="F15" s="289" t="s">
        <v>123</v>
      </c>
      <c r="G15" s="290">
        <f>Ballast!E34</f>
        <v>0</v>
      </c>
      <c r="H15" s="152"/>
    </row>
    <row r="16" spans="1:8" ht="15" customHeight="1" x14ac:dyDescent="0.2">
      <c r="B16" s="289" t="s">
        <v>124</v>
      </c>
      <c r="C16" s="290">
        <f>Ballast!C37</f>
        <v>29.4997369166799</v>
      </c>
      <c r="D16" s="281"/>
      <c r="E16" s="281"/>
      <c r="F16" s="289" t="s">
        <v>124</v>
      </c>
      <c r="G16" s="290">
        <f>Ballast!E37</f>
        <v>33.950000000000003</v>
      </c>
      <c r="H16" s="152"/>
    </row>
    <row r="17" spans="2:9" ht="15" customHeight="1" x14ac:dyDescent="0.2">
      <c r="B17" s="289" t="s">
        <v>125</v>
      </c>
      <c r="C17" s="291">
        <f>Ballast!C38</f>
        <v>1018.43</v>
      </c>
      <c r="D17" s="281"/>
      <c r="E17" s="281"/>
      <c r="F17" s="289" t="s">
        <v>125</v>
      </c>
      <c r="G17" s="291">
        <f>Ballast!E38</f>
        <v>1027.2635747918628</v>
      </c>
      <c r="H17" s="152"/>
    </row>
    <row r="18" spans="2:9" ht="9.75" customHeight="1" thickBot="1" x14ac:dyDescent="0.25">
      <c r="B18" s="300"/>
      <c r="C18" s="301"/>
      <c r="D18" s="281"/>
      <c r="E18" s="281"/>
      <c r="F18" s="300"/>
      <c r="G18" s="301"/>
      <c r="H18" s="264"/>
    </row>
    <row r="19" spans="2:9" ht="7.5" customHeight="1" thickTop="1" x14ac:dyDescent="0.2">
      <c r="B19" s="302"/>
      <c r="C19" s="303"/>
      <c r="D19" s="303"/>
      <c r="E19" s="303"/>
      <c r="F19" s="303"/>
      <c r="G19" s="303"/>
      <c r="H19" s="107"/>
    </row>
    <row r="20" spans="2:9" s="170" customFormat="1" ht="30" customHeight="1" x14ac:dyDescent="0.2">
      <c r="B20" s="275" t="s">
        <v>126</v>
      </c>
      <c r="C20" s="474" t="s">
        <v>202</v>
      </c>
      <c r="D20" s="474"/>
      <c r="E20" s="474"/>
      <c r="F20" s="474"/>
      <c r="G20" s="474"/>
      <c r="H20" s="293"/>
      <c r="I20" s="294"/>
    </row>
    <row r="21" spans="2:9" s="170" customFormat="1" ht="18" customHeight="1" x14ac:dyDescent="0.2">
      <c r="B21" s="476" t="s">
        <v>215</v>
      </c>
      <c r="C21" s="476"/>
      <c r="D21" s="476" t="s">
        <v>195</v>
      </c>
      <c r="E21" s="476"/>
      <c r="F21" s="476" t="s">
        <v>196</v>
      </c>
      <c r="G21" s="476"/>
    </row>
    <row r="22" spans="2:9" s="170" customFormat="1" ht="6" customHeight="1" x14ac:dyDescent="0.2">
      <c r="C22" s="215"/>
    </row>
    <row r="23" spans="2:9" s="170" customFormat="1" ht="18" customHeight="1" x14ac:dyDescent="0.2">
      <c r="B23" s="216"/>
      <c r="C23" s="216"/>
    </row>
    <row r="24" spans="2:9" s="170" customFormat="1" ht="18" customHeight="1" x14ac:dyDescent="0.2">
      <c r="B24" s="216"/>
      <c r="C24" s="216"/>
    </row>
    <row r="25" spans="2:9" s="170" customFormat="1" ht="18" customHeight="1" x14ac:dyDescent="0.2"/>
    <row r="26" spans="2:9" s="170" customFormat="1" ht="18" customHeight="1" x14ac:dyDescent="0.2"/>
    <row r="27" spans="2:9" s="170" customFormat="1" ht="18" customHeight="1" x14ac:dyDescent="0.2"/>
    <row r="28" spans="2:9" s="170" customFormat="1" ht="18" customHeight="1" x14ac:dyDescent="0.2"/>
    <row r="29" spans="2:9" s="170" customFormat="1" ht="18" customHeight="1" x14ac:dyDescent="0.2"/>
    <row r="30" spans="2:9" s="170" customFormat="1" ht="18" customHeight="1" x14ac:dyDescent="0.2"/>
    <row r="31" spans="2:9" s="170" customFormat="1" ht="18" customHeight="1" x14ac:dyDescent="0.2"/>
    <row r="32" spans="2:9" s="170" customFormat="1" ht="18" customHeight="1" thickBot="1" x14ac:dyDescent="0.25">
      <c r="C32" s="215"/>
    </row>
    <row r="33" spans="2:13" s="170" customFormat="1" ht="9.75" customHeight="1" thickTop="1" x14ac:dyDescent="0.2">
      <c r="B33" s="304"/>
      <c r="C33" s="304"/>
      <c r="D33" s="304"/>
      <c r="E33" s="304"/>
      <c r="F33" s="304"/>
      <c r="G33" s="304"/>
    </row>
    <row r="34" spans="2:13" s="170" customFormat="1" ht="18" customHeight="1" x14ac:dyDescent="0.2">
      <c r="B34" s="475" t="s">
        <v>203</v>
      </c>
      <c r="C34" s="475"/>
      <c r="D34" s="307" t="s">
        <v>204</v>
      </c>
      <c r="E34" s="263"/>
      <c r="F34" s="263"/>
      <c r="G34" s="263"/>
      <c r="H34" s="263"/>
    </row>
    <row r="35" spans="2:13" s="170" customFormat="1" ht="18" customHeight="1" x14ac:dyDescent="0.2">
      <c r="B35" s="262"/>
      <c r="C35" s="263"/>
      <c r="D35" s="263"/>
      <c r="E35" s="263"/>
      <c r="F35" s="263"/>
      <c r="G35" s="263"/>
      <c r="H35" s="263"/>
    </row>
    <row r="36" spans="2:13" s="170" customFormat="1" ht="18" customHeight="1" x14ac:dyDescent="0.2">
      <c r="B36" s="296"/>
      <c r="C36" s="263"/>
      <c r="D36" s="263"/>
      <c r="E36" s="263"/>
      <c r="F36" s="263"/>
      <c r="G36" s="297"/>
      <c r="H36" s="263"/>
    </row>
    <row r="37" spans="2:13" s="170" customFormat="1" ht="18" customHeight="1" x14ac:dyDescent="0.2">
      <c r="B37" s="296"/>
      <c r="C37" s="263"/>
      <c r="D37" s="263"/>
      <c r="E37" s="263"/>
      <c r="F37" s="263"/>
      <c r="G37" s="295"/>
      <c r="H37" s="263"/>
    </row>
    <row r="38" spans="2:13" s="170" customFormat="1" ht="18" customHeight="1" x14ac:dyDescent="0.2">
      <c r="B38" s="299"/>
      <c r="C38" s="263"/>
      <c r="D38" s="263"/>
      <c r="E38" s="263"/>
      <c r="F38" s="263"/>
      <c r="G38" s="298"/>
      <c r="H38" s="263"/>
    </row>
    <row r="39" spans="2:13" s="170" customFormat="1" ht="18" customHeight="1" x14ac:dyDescent="0.2">
      <c r="B39" s="296"/>
      <c r="C39" s="263"/>
      <c r="D39" s="263"/>
      <c r="E39" s="263"/>
      <c r="F39" s="263"/>
      <c r="G39" s="295"/>
      <c r="H39" s="263"/>
    </row>
    <row r="40" spans="2:13" s="170" customFormat="1" ht="18" customHeight="1" x14ac:dyDescent="0.2">
      <c r="B40" s="296"/>
      <c r="C40" s="263"/>
      <c r="D40" s="263"/>
      <c r="E40" s="263"/>
      <c r="F40" s="263"/>
      <c r="G40" s="297"/>
      <c r="H40" s="263"/>
    </row>
    <row r="41" spans="2:13" s="170" customFormat="1" ht="18" customHeight="1" x14ac:dyDescent="0.2">
      <c r="B41" s="262"/>
      <c r="C41" s="263"/>
      <c r="D41" s="263"/>
      <c r="E41" s="263"/>
      <c r="F41" s="263"/>
      <c r="G41" s="263"/>
      <c r="H41" s="263"/>
    </row>
    <row r="42" spans="2:13" s="170" customFormat="1" ht="21.75" customHeight="1" thickBot="1" x14ac:dyDescent="0.25">
      <c r="B42" s="262"/>
      <c r="C42" s="263"/>
      <c r="D42" s="263"/>
      <c r="E42" s="263"/>
      <c r="F42" s="263"/>
      <c r="G42" s="263"/>
      <c r="H42" s="263"/>
    </row>
    <row r="43" spans="2:13" s="170" customFormat="1" ht="9.75" customHeight="1" thickTop="1" x14ac:dyDescent="0.2">
      <c r="B43" s="305"/>
      <c r="C43" s="306"/>
      <c r="D43" s="306"/>
      <c r="E43" s="306"/>
      <c r="F43" s="306"/>
      <c r="G43" s="306"/>
      <c r="H43" s="263"/>
    </row>
    <row r="44" spans="2:13" ht="18" customHeight="1" x14ac:dyDescent="0.2">
      <c r="B44" s="104" t="s">
        <v>96</v>
      </c>
      <c r="C44" s="100"/>
      <c r="D44" s="100"/>
    </row>
    <row r="45" spans="2:13" ht="8.25" customHeight="1" x14ac:dyDescent="0.2">
      <c r="B45" s="103"/>
    </row>
    <row r="46" spans="2:13" ht="12" customHeight="1" thickBot="1" x14ac:dyDescent="0.25">
      <c r="B46" s="265" t="s">
        <v>78</v>
      </c>
      <c r="C46" s="265" t="s">
        <v>128</v>
      </c>
      <c r="D46" s="265" t="s">
        <v>95</v>
      </c>
      <c r="E46" s="265" t="s">
        <v>128</v>
      </c>
      <c r="F46" s="265" t="s">
        <v>31</v>
      </c>
      <c r="G46" s="265" t="s">
        <v>128</v>
      </c>
      <c r="H46" s="477"/>
      <c r="I46" s="478"/>
      <c r="L46" s="479"/>
      <c r="M46" s="479"/>
    </row>
    <row r="47" spans="2:13" ht="12" customHeight="1" thickTop="1" x14ac:dyDescent="0.2">
      <c r="B47" s="266" t="s">
        <v>97</v>
      </c>
      <c r="C47" s="267">
        <f>117-52-20</f>
        <v>45</v>
      </c>
      <c r="D47" s="266" t="s">
        <v>98</v>
      </c>
      <c r="E47" s="267">
        <v>200</v>
      </c>
      <c r="F47" s="266" t="s">
        <v>99</v>
      </c>
      <c r="G47" s="267">
        <f>122-40+32-100</f>
        <v>14</v>
      </c>
      <c r="H47" s="101"/>
      <c r="I47" s="473"/>
      <c r="J47" s="473"/>
      <c r="K47" s="473"/>
      <c r="L47" s="473"/>
      <c r="M47" s="105"/>
    </row>
    <row r="48" spans="2:13" ht="12" customHeight="1" x14ac:dyDescent="0.2">
      <c r="B48" s="268" t="s">
        <v>100</v>
      </c>
      <c r="C48" s="269">
        <f>432-52-20</f>
        <v>360</v>
      </c>
      <c r="D48" s="268" t="s">
        <v>101</v>
      </c>
      <c r="E48" s="269">
        <v>400</v>
      </c>
      <c r="F48" s="268"/>
      <c r="G48" s="268"/>
      <c r="H48" s="102"/>
      <c r="I48" s="473"/>
      <c r="J48" s="473"/>
      <c r="K48" s="473"/>
      <c r="L48" s="473"/>
      <c r="M48" s="105"/>
    </row>
    <row r="49" spans="2:13" ht="12" customHeight="1" x14ac:dyDescent="0.2">
      <c r="B49" s="268" t="s">
        <v>102</v>
      </c>
      <c r="C49" s="269"/>
      <c r="D49" s="268" t="s">
        <v>103</v>
      </c>
      <c r="E49" s="269"/>
      <c r="F49" s="268"/>
      <c r="G49" s="268"/>
      <c r="H49" s="101"/>
      <c r="I49" s="101"/>
      <c r="K49" s="473"/>
      <c r="L49" s="473"/>
      <c r="M49" s="105"/>
    </row>
    <row r="50" spans="2:13" ht="12" customHeight="1" x14ac:dyDescent="0.2">
      <c r="B50" s="270"/>
      <c r="C50" s="268"/>
      <c r="D50" s="268" t="s">
        <v>104</v>
      </c>
      <c r="E50" s="269">
        <v>200</v>
      </c>
      <c r="F50" s="268"/>
      <c r="G50" s="268"/>
      <c r="H50" s="102"/>
      <c r="I50" s="473"/>
      <c r="J50" s="473"/>
      <c r="K50" s="473"/>
      <c r="L50" s="473"/>
      <c r="M50" s="105"/>
    </row>
    <row r="51" spans="2:13" ht="12" customHeight="1" x14ac:dyDescent="0.2">
      <c r="B51" s="271"/>
      <c r="C51" s="271"/>
      <c r="D51" s="268" t="s">
        <v>323</v>
      </c>
      <c r="E51" s="269">
        <v>800</v>
      </c>
      <c r="F51" s="271"/>
      <c r="G51" s="271"/>
      <c r="H51" s="106"/>
      <c r="I51" s="106"/>
      <c r="J51" s="106"/>
      <c r="K51" s="106"/>
      <c r="L51" s="106"/>
      <c r="M51" s="106"/>
    </row>
    <row r="52" spans="2:13" ht="12" customHeight="1" x14ac:dyDescent="0.2">
      <c r="B52" s="272"/>
      <c r="C52" s="272"/>
      <c r="D52" s="273"/>
      <c r="E52" s="272"/>
      <c r="F52" s="272"/>
      <c r="G52" s="272"/>
      <c r="H52" s="106"/>
      <c r="I52" s="106"/>
      <c r="J52" s="106"/>
      <c r="K52" s="106"/>
      <c r="L52" s="106"/>
      <c r="M52" s="106"/>
    </row>
    <row r="53" spans="2:13" ht="12" customHeight="1" x14ac:dyDescent="0.2">
      <c r="B53" s="268" t="s">
        <v>178</v>
      </c>
      <c r="C53" s="346" t="str">
        <f>IF(ISBLANK(Ballast!C25),"",Ballast!C25)</f>
        <v/>
      </c>
      <c r="D53" s="273"/>
      <c r="E53" s="272"/>
      <c r="F53" s="272"/>
      <c r="G53" s="272"/>
      <c r="H53" s="106"/>
      <c r="I53" s="106"/>
      <c r="J53" s="106"/>
      <c r="K53" s="106"/>
      <c r="L53" s="106"/>
      <c r="M53" s="106"/>
    </row>
    <row r="54" spans="2:13" ht="12" customHeight="1" x14ac:dyDescent="0.2">
      <c r="B54" s="308" t="s">
        <v>177</v>
      </c>
      <c r="C54" s="346" t="str">
        <f>IF(ISBLANK(Ballast!C26),"",Ballast!C26)</f>
        <v/>
      </c>
      <c r="D54" s="274"/>
      <c r="E54" s="274"/>
      <c r="F54" s="274"/>
      <c r="G54" s="274"/>
    </row>
    <row r="55" spans="2:13" ht="12" customHeight="1" x14ac:dyDescent="0.2">
      <c r="B55" s="317"/>
      <c r="C55" s="321"/>
      <c r="D55" s="274"/>
      <c r="E55" s="274"/>
      <c r="F55" s="274"/>
      <c r="G55" s="274"/>
    </row>
  </sheetData>
  <mergeCells count="14">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s>
  <phoneticPr fontId="0" type="noConversion"/>
  <conditionalFormatting sqref="G7">
    <cfRule type="cellIs" dxfId="2" priority="3" operator="equal">
      <formula>FALSE</formula>
    </cfRule>
  </conditionalFormatting>
  <conditionalFormatting sqref="G9">
    <cfRule type="cellIs" dxfId="1" priority="2" operator="equal">
      <formula>FALSE</formula>
    </cfRule>
  </conditionalFormatting>
  <conditionalFormatting sqref="G11">
    <cfRule type="cellIs" dxfId="0" priority="1" operator="equal">
      <formula>FALSE</formula>
    </cfRule>
  </conditionalFormatting>
  <pageMargins left="0.7" right="0.7" top="0.75" bottom="0.75" header="0.3" footer="0.3"/>
  <pageSetup scale="82"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O97"/>
  <sheetViews>
    <sheetView zoomScaleNormal="100" zoomScaleSheetLayoutView="115" workbookViewId="0">
      <selection activeCell="O5" sqref="O5:O6"/>
    </sheetView>
  </sheetViews>
  <sheetFormatPr defaultColWidth="9.140625" defaultRowHeight="12.75" x14ac:dyDescent="0.2"/>
  <cols>
    <col min="1" max="1" width="27.7109375" style="21" customWidth="1"/>
    <col min="2" max="2" width="20.140625" style="21" customWidth="1"/>
    <col min="3" max="3" width="21.140625" style="21" customWidth="1"/>
    <col min="4" max="5" width="16.28515625" style="21" customWidth="1"/>
    <col min="6" max="6" width="9.140625" style="349" customWidth="1"/>
    <col min="7" max="14" width="9.140625" style="21" customWidth="1"/>
    <col min="15" max="16384" width="9.140625" style="21"/>
  </cols>
  <sheetData>
    <row r="1" spans="1:15" customFormat="1" ht="20.25" customHeight="1" x14ac:dyDescent="0.2">
      <c r="A1" s="21"/>
      <c r="B1" s="21"/>
      <c r="C1" s="211"/>
      <c r="D1" s="171" t="s">
        <v>155</v>
      </c>
      <c r="E1" s="172" t="str">
        <f>Ballast!$H$1</f>
        <v>4095-GBPSH</v>
      </c>
      <c r="F1" s="359"/>
      <c r="H1" s="399" t="s">
        <v>250</v>
      </c>
      <c r="I1" s="385"/>
      <c r="J1" s="385"/>
      <c r="K1" s="394"/>
      <c r="L1" s="394"/>
      <c r="M1" s="394"/>
      <c r="N1" s="395"/>
    </row>
    <row r="2" spans="1:15" customFormat="1" ht="20.25" customHeight="1" x14ac:dyDescent="0.2">
      <c r="A2" s="21"/>
      <c r="B2" s="21"/>
      <c r="C2" s="211"/>
      <c r="D2" s="173" t="s">
        <v>156</v>
      </c>
      <c r="E2" s="174" t="str">
        <f>Ballast!$H$2</f>
        <v>F</v>
      </c>
      <c r="F2" s="359"/>
      <c r="H2" s="396"/>
      <c r="I2" s="392"/>
      <c r="J2" s="353"/>
      <c r="K2" s="353"/>
      <c r="L2" s="393" t="s">
        <v>255</v>
      </c>
      <c r="M2" s="388"/>
      <c r="N2" s="352" t="s">
        <v>10</v>
      </c>
      <c r="O2" s="400" t="s">
        <v>256</v>
      </c>
    </row>
    <row r="3" spans="1:15" customFormat="1" ht="20.25" customHeight="1" x14ac:dyDescent="0.2">
      <c r="A3" s="21"/>
      <c r="B3" s="21"/>
      <c r="C3" s="211"/>
      <c r="D3" s="173" t="s">
        <v>1</v>
      </c>
      <c r="E3" s="175">
        <f>Ballast!$H$3</f>
        <v>41813</v>
      </c>
      <c r="F3" s="359"/>
      <c r="H3" s="391"/>
      <c r="I3" s="350"/>
      <c r="J3" s="25"/>
      <c r="K3" s="25"/>
      <c r="L3" s="351" t="s">
        <v>252</v>
      </c>
      <c r="M3" s="388"/>
      <c r="N3" s="352" t="s">
        <v>10</v>
      </c>
      <c r="O3" s="400" t="s">
        <v>257</v>
      </c>
    </row>
    <row r="4" spans="1:15" customFormat="1" ht="20.25" customHeight="1" thickBot="1" x14ac:dyDescent="0.25">
      <c r="A4" s="21"/>
      <c r="B4" s="21"/>
      <c r="C4" s="211"/>
      <c r="D4" s="176" t="s">
        <v>157</v>
      </c>
      <c r="E4" s="177">
        <f>Ballast!$H$4</f>
        <v>12698</v>
      </c>
      <c r="F4" s="359"/>
      <c r="H4" s="391"/>
      <c r="I4" s="350"/>
      <c r="J4" s="25"/>
      <c r="K4" s="25"/>
      <c r="L4" s="354"/>
      <c r="M4" s="25"/>
      <c r="N4" s="36"/>
      <c r="O4" s="400"/>
    </row>
    <row r="5" spans="1:15" customFormat="1" ht="15.75" customHeight="1" thickBot="1" x14ac:dyDescent="0.25">
      <c r="A5" s="21"/>
      <c r="B5" s="21"/>
      <c r="C5" s="212"/>
      <c r="D5" s="213"/>
      <c r="E5" s="213"/>
      <c r="F5" s="359"/>
      <c r="H5" s="391"/>
      <c r="I5" s="350"/>
      <c r="J5" s="25"/>
      <c r="K5" s="25"/>
      <c r="L5" s="351" t="s">
        <v>251</v>
      </c>
      <c r="M5" s="402"/>
      <c r="N5" s="352" t="s">
        <v>243</v>
      </c>
      <c r="O5" s="400" t="s">
        <v>317</v>
      </c>
    </row>
    <row r="6" spans="1:15" customFormat="1" ht="15.75" customHeight="1" thickTop="1" thickBot="1" x14ac:dyDescent="0.25">
      <c r="A6" s="209"/>
      <c r="B6" s="209"/>
      <c r="C6" s="209"/>
      <c r="D6" s="209"/>
      <c r="E6" s="209"/>
      <c r="F6" s="349"/>
      <c r="G6" s="21"/>
      <c r="H6" s="37"/>
      <c r="I6" s="350"/>
      <c r="J6" s="25"/>
      <c r="K6" s="25"/>
      <c r="L6" s="351" t="s">
        <v>237</v>
      </c>
      <c r="M6" s="402"/>
      <c r="N6" s="352" t="s">
        <v>224</v>
      </c>
      <c r="O6" s="400" t="s">
        <v>318</v>
      </c>
    </row>
    <row r="7" spans="1:15" x14ac:dyDescent="0.2">
      <c r="A7" s="168" t="s">
        <v>29</v>
      </c>
      <c r="B7" s="239" t="str">
        <f>IF(ISBLANK(Ballast!C13),"",Ballast!C13)</f>
        <v>631</v>
      </c>
      <c r="C7" s="238"/>
      <c r="H7" s="37"/>
      <c r="I7" s="350"/>
      <c r="J7" s="25"/>
      <c r="K7" s="25"/>
      <c r="L7" s="351" t="s">
        <v>239</v>
      </c>
      <c r="M7" s="402">
        <v>0</v>
      </c>
      <c r="N7" s="352" t="s">
        <v>253</v>
      </c>
      <c r="O7" s="401" t="s">
        <v>259</v>
      </c>
    </row>
    <row r="8" spans="1:15" ht="13.5" thickBot="1" x14ac:dyDescent="0.25">
      <c r="A8" s="169" t="s">
        <v>1</v>
      </c>
      <c r="B8" s="240">
        <f>IF(ISBLANK(Ballast!C15),"",Ballast!C15)</f>
        <v>44397</v>
      </c>
      <c r="H8" s="37"/>
      <c r="I8" s="350"/>
      <c r="J8" s="25"/>
      <c r="K8" s="25"/>
      <c r="L8" s="351" t="s">
        <v>238</v>
      </c>
      <c r="M8" s="402">
        <v>0</v>
      </c>
      <c r="N8" s="352" t="s">
        <v>253</v>
      </c>
      <c r="O8" s="401" t="s">
        <v>259</v>
      </c>
    </row>
    <row r="9" spans="1:15" x14ac:dyDescent="0.2">
      <c r="A9" s="30"/>
      <c r="C9" s="85"/>
      <c r="D9" s="85"/>
      <c r="E9" s="85"/>
      <c r="H9" s="37"/>
      <c r="I9" s="25"/>
      <c r="J9" s="25"/>
      <c r="K9" s="25"/>
      <c r="L9" s="351" t="s">
        <v>240</v>
      </c>
      <c r="M9" s="46">
        <f>AVERAGE(M7:M8)</f>
        <v>0</v>
      </c>
      <c r="N9" s="352" t="s">
        <v>253</v>
      </c>
      <c r="O9" s="401" t="s">
        <v>260</v>
      </c>
    </row>
    <row r="10" spans="1:15" x14ac:dyDescent="0.2">
      <c r="A10" s="30"/>
      <c r="C10" s="85"/>
      <c r="D10" s="85"/>
      <c r="E10" s="85"/>
      <c r="H10" s="37"/>
      <c r="I10" s="25"/>
      <c r="J10" s="25"/>
      <c r="K10" s="25"/>
      <c r="L10" s="25"/>
      <c r="M10" s="25"/>
      <c r="N10" s="36"/>
      <c r="O10" s="401"/>
    </row>
    <row r="11" spans="1:15" ht="13.5" thickBot="1" x14ac:dyDescent="0.25">
      <c r="A11" s="30"/>
      <c r="C11" s="85"/>
      <c r="D11" s="85"/>
      <c r="E11" s="85"/>
      <c r="H11" s="47"/>
      <c r="I11" s="357"/>
      <c r="J11" s="357"/>
      <c r="K11" s="357"/>
      <c r="L11" s="398" t="s">
        <v>254</v>
      </c>
      <c r="M11" s="397">
        <f>-M9</f>
        <v>0</v>
      </c>
      <c r="N11" s="55"/>
      <c r="O11" s="401" t="s">
        <v>258</v>
      </c>
    </row>
    <row r="12" spans="1:15" x14ac:dyDescent="0.2">
      <c r="A12" s="30"/>
      <c r="C12" s="85"/>
      <c r="D12" s="85"/>
      <c r="E12" s="85"/>
    </row>
    <row r="13" spans="1:15" x14ac:dyDescent="0.2">
      <c r="A13" s="30"/>
      <c r="C13" s="85"/>
      <c r="D13" s="85"/>
      <c r="E13" s="85"/>
    </row>
    <row r="14" spans="1:15" x14ac:dyDescent="0.2">
      <c r="A14" s="30"/>
      <c r="C14" s="85"/>
      <c r="D14" s="85"/>
      <c r="E14" s="85"/>
    </row>
    <row r="15" spans="1:15" x14ac:dyDescent="0.2">
      <c r="A15" s="480" t="s">
        <v>173</v>
      </c>
      <c r="B15" s="480"/>
      <c r="C15" s="480"/>
      <c r="D15" s="480"/>
      <c r="E15" s="85"/>
    </row>
    <row r="16" spans="1:15" ht="13.5" thickBot="1" x14ac:dyDescent="0.25">
      <c r="A16" s="30"/>
    </row>
    <row r="17" spans="1:14" ht="13.5" thickBot="1" x14ac:dyDescent="0.25">
      <c r="A17" s="31" t="s">
        <v>60</v>
      </c>
      <c r="B17" s="32"/>
      <c r="C17" s="32"/>
      <c r="D17" s="33"/>
    </row>
    <row r="18" spans="1:14" x14ac:dyDescent="0.2">
      <c r="A18" s="184"/>
      <c r="B18" s="35" t="s">
        <v>39</v>
      </c>
      <c r="C18" s="72">
        <v>0</v>
      </c>
      <c r="D18" s="36" t="s">
        <v>10</v>
      </c>
      <c r="E18" s="383" t="s">
        <v>248</v>
      </c>
      <c r="F18" s="384"/>
      <c r="G18" s="385"/>
      <c r="H18" s="386"/>
      <c r="I18" s="385"/>
      <c r="J18" s="387"/>
    </row>
    <row r="19" spans="1:14" x14ac:dyDescent="0.2">
      <c r="A19" s="186"/>
      <c r="B19" s="38" t="s">
        <v>40</v>
      </c>
      <c r="C19" s="72">
        <v>0</v>
      </c>
      <c r="D19" s="36" t="s">
        <v>10</v>
      </c>
      <c r="E19" s="379" t="str">
        <f>IF(C19&gt;5000,"Error: scale reading too high",IF(C19&lt;0,"Error: scale reading should be positive",""))</f>
        <v/>
      </c>
      <c r="F19" s="350"/>
      <c r="G19" s="25"/>
      <c r="H19" s="380" t="s">
        <v>246</v>
      </c>
      <c r="I19" s="46">
        <f>Worksheet!G7</f>
        <v>74109</v>
      </c>
      <c r="J19" s="352" t="s">
        <v>10</v>
      </c>
    </row>
    <row r="20" spans="1:14" x14ac:dyDescent="0.2">
      <c r="A20" s="186"/>
      <c r="B20" s="38" t="s">
        <v>41</v>
      </c>
      <c r="C20" s="187">
        <f>Ballast!G39</f>
        <v>521.42598206305024</v>
      </c>
      <c r="D20" s="36" t="s">
        <v>10</v>
      </c>
      <c r="E20" s="186"/>
      <c r="F20" s="350"/>
      <c r="G20" s="25"/>
      <c r="H20" s="380" t="s">
        <v>247</v>
      </c>
      <c r="I20" s="403">
        <f>C18+C19</f>
        <v>0</v>
      </c>
      <c r="J20" s="352" t="s">
        <v>10</v>
      </c>
    </row>
    <row r="21" spans="1:14" x14ac:dyDescent="0.2">
      <c r="A21" s="189"/>
      <c r="B21" s="230" t="s">
        <v>284</v>
      </c>
      <c r="C21" s="188">
        <f>C20-(C18+C19)</f>
        <v>521.42598206305024</v>
      </c>
      <c r="D21" s="41" t="s">
        <v>10</v>
      </c>
      <c r="E21" s="186"/>
      <c r="F21" s="350"/>
      <c r="G21" s="25"/>
      <c r="H21" s="380" t="s">
        <v>245</v>
      </c>
      <c r="I21" s="46">
        <f>(Worksheet!G7-I20)/(Ballast!C38/1000)</f>
        <v>72767.887827342085</v>
      </c>
      <c r="J21" s="352" t="s">
        <v>242</v>
      </c>
    </row>
    <row r="22" spans="1:14" ht="13.5" thickBot="1" x14ac:dyDescent="0.25">
      <c r="A22" s="193"/>
      <c r="B22" s="376" t="s">
        <v>241</v>
      </c>
      <c r="C22" s="377">
        <f>C21</f>
        <v>521.42598206305024</v>
      </c>
      <c r="D22" s="378" t="s">
        <v>10</v>
      </c>
      <c r="E22" s="193"/>
      <c r="F22" s="358"/>
      <c r="G22" s="357"/>
      <c r="H22" s="381" t="s">
        <v>244</v>
      </c>
      <c r="I22" s="390">
        <f>M25+((Ballast!E38/1000)*I21)-I19</f>
        <v>532.4220708329085</v>
      </c>
      <c r="J22" s="382" t="s">
        <v>10</v>
      </c>
      <c r="K22" s="389" t="s">
        <v>249</v>
      </c>
    </row>
    <row r="23" spans="1:14" x14ac:dyDescent="0.2">
      <c r="A23" s="37"/>
      <c r="B23" s="374" t="s">
        <v>38</v>
      </c>
      <c r="C23" s="375" t="s">
        <v>42</v>
      </c>
      <c r="D23" s="185"/>
      <c r="E23" s="85"/>
      <c r="I23" s="25"/>
      <c r="J23" s="25"/>
      <c r="K23" s="25"/>
    </row>
    <row r="24" spans="1:14" x14ac:dyDescent="0.2">
      <c r="A24" s="37"/>
      <c r="B24" s="45" t="s">
        <v>66</v>
      </c>
      <c r="C24" s="45" t="s">
        <v>66</v>
      </c>
      <c r="D24" s="185"/>
      <c r="E24" s="85"/>
      <c r="I24" s="25"/>
      <c r="J24" s="25"/>
      <c r="K24" s="25"/>
    </row>
    <row r="25" spans="1:14" x14ac:dyDescent="0.2">
      <c r="A25" s="46" t="s">
        <v>33</v>
      </c>
      <c r="B25" s="73">
        <v>1</v>
      </c>
      <c r="C25" s="191">
        <f>B25-$C$31</f>
        <v>-21.7</v>
      </c>
      <c r="D25" s="185"/>
      <c r="E25" s="85" t="str">
        <f>IF(B25&lt;-10,"Error: Check scale position",IF(B25&gt;30, "Error, check scale position",""))</f>
        <v/>
      </c>
      <c r="F25" s="413"/>
      <c r="G25" s="414"/>
      <c r="H25" s="415"/>
      <c r="I25" s="414"/>
      <c r="J25" s="415"/>
      <c r="K25" s="414"/>
      <c r="L25" s="417" t="s">
        <v>283</v>
      </c>
      <c r="M25" s="416">
        <f>I21*10^-3*53.5*10^-6*(Ballast!E32-Ballast!C32)*Ballast!E38</f>
        <v>-110.37850873579116</v>
      </c>
      <c r="N25" s="24" t="s">
        <v>10</v>
      </c>
    </row>
    <row r="26" spans="1:14" x14ac:dyDescent="0.2">
      <c r="A26" s="46" t="s">
        <v>34</v>
      </c>
      <c r="B26" s="73">
        <v>47</v>
      </c>
      <c r="C26" s="191">
        <f>B26-$C$31</f>
        <v>24.3</v>
      </c>
      <c r="D26" s="185"/>
      <c r="E26" s="85" t="str">
        <f>IF(B26&lt;20,"Error: Check scale position",IF(B26&gt;70, "Error, check scale position",""))</f>
        <v/>
      </c>
      <c r="I26" s="25"/>
      <c r="J26" s="25"/>
      <c r="K26" s="25"/>
    </row>
    <row r="27" spans="1:14" x14ac:dyDescent="0.2">
      <c r="A27" s="37"/>
      <c r="B27" s="192"/>
      <c r="C27" s="189"/>
      <c r="D27" s="185"/>
      <c r="E27" s="85"/>
      <c r="L27" s="25"/>
    </row>
    <row r="28" spans="1:14" ht="13.5" thickBot="1" x14ac:dyDescent="0.25">
      <c r="A28" s="47"/>
      <c r="B28" s="48" t="s">
        <v>74</v>
      </c>
      <c r="C28" s="180">
        <f>(C18*C25)+(C19*C26)</f>
        <v>0</v>
      </c>
      <c r="D28" s="49" t="s">
        <v>30</v>
      </c>
      <c r="E28" s="85"/>
      <c r="J28" s="25"/>
      <c r="L28" s="25"/>
    </row>
    <row r="29" spans="1:14" ht="13.5" thickBot="1" x14ac:dyDescent="0.25">
      <c r="A29" s="189"/>
      <c r="B29" s="194"/>
      <c r="C29" s="189"/>
      <c r="D29" s="189"/>
      <c r="E29" s="189"/>
      <c r="F29" s="350" t="s">
        <v>81</v>
      </c>
      <c r="J29" s="25"/>
    </row>
    <row r="30" spans="1:14" x14ac:dyDescent="0.2">
      <c r="A30" s="51" t="s">
        <v>36</v>
      </c>
      <c r="B30" s="32"/>
      <c r="C30" s="182"/>
      <c r="D30" s="183"/>
      <c r="E30" s="189"/>
      <c r="F30" s="349" t="s">
        <v>61</v>
      </c>
      <c r="J30" s="25"/>
    </row>
    <row r="31" spans="1:14" x14ac:dyDescent="0.2">
      <c r="A31" s="37"/>
      <c r="B31" s="52" t="s">
        <v>35</v>
      </c>
      <c r="C31" s="74">
        <v>22.7</v>
      </c>
      <c r="D31" s="195"/>
      <c r="E31" s="189"/>
      <c r="F31" s="349" t="s">
        <v>37</v>
      </c>
      <c r="J31" s="25"/>
    </row>
    <row r="32" spans="1:14" ht="13.5" thickBot="1" x14ac:dyDescent="0.25">
      <c r="A32" s="37"/>
      <c r="B32" s="25"/>
      <c r="C32" s="189"/>
      <c r="D32" s="185"/>
      <c r="E32" s="189"/>
      <c r="F32" s="349" t="s">
        <v>68</v>
      </c>
      <c r="J32" s="25"/>
    </row>
    <row r="33" spans="1:10" x14ac:dyDescent="0.2">
      <c r="A33" s="53" t="s">
        <v>44</v>
      </c>
      <c r="B33" s="53" t="s">
        <v>65</v>
      </c>
      <c r="C33" s="53" t="s">
        <v>67</v>
      </c>
      <c r="D33" s="185"/>
      <c r="E33" s="189"/>
      <c r="F33" s="349" t="s">
        <v>87</v>
      </c>
      <c r="J33" s="25"/>
    </row>
    <row r="34" spans="1:10" ht="13.5" thickBot="1" x14ac:dyDescent="0.25">
      <c r="A34" s="54"/>
      <c r="B34" s="54" t="s">
        <v>66</v>
      </c>
      <c r="C34" s="54" t="s">
        <v>66</v>
      </c>
      <c r="D34" s="185"/>
      <c r="E34" s="189"/>
      <c r="F34" s="349" t="s">
        <v>88</v>
      </c>
      <c r="J34" s="25"/>
    </row>
    <row r="35" spans="1:10" x14ac:dyDescent="0.2">
      <c r="A35" s="206" t="s">
        <v>45</v>
      </c>
      <c r="B35" s="75">
        <v>2</v>
      </c>
      <c r="C35" s="196">
        <f t="shared" ref="C35:C42" si="0">B35-C$31</f>
        <v>-20.7</v>
      </c>
      <c r="D35" s="185"/>
      <c r="E35" s="189"/>
      <c r="J35" s="25"/>
    </row>
    <row r="36" spans="1:10" x14ac:dyDescent="0.2">
      <c r="A36" s="207" t="s">
        <v>46</v>
      </c>
      <c r="B36" s="76">
        <v>3.5</v>
      </c>
      <c r="C36" s="191">
        <f t="shared" si="0"/>
        <v>-19.2</v>
      </c>
      <c r="D36" s="185"/>
      <c r="E36" s="189"/>
      <c r="F36" s="90"/>
      <c r="J36" s="25"/>
    </row>
    <row r="37" spans="1:10" x14ac:dyDescent="0.2">
      <c r="A37" s="207" t="s">
        <v>47</v>
      </c>
      <c r="B37" s="76">
        <v>20.125</v>
      </c>
      <c r="C37" s="191">
        <f t="shared" si="0"/>
        <v>-2.5749999999999993</v>
      </c>
      <c r="D37" s="185"/>
      <c r="E37" s="189"/>
      <c r="J37" s="25"/>
    </row>
    <row r="38" spans="1:10" x14ac:dyDescent="0.2">
      <c r="A38" s="207" t="s">
        <v>48</v>
      </c>
      <c r="B38" s="220">
        <v>22</v>
      </c>
      <c r="C38" s="191">
        <f t="shared" si="0"/>
        <v>-0.69999999999999929</v>
      </c>
      <c r="D38" s="185"/>
      <c r="E38" s="189"/>
      <c r="J38" s="25"/>
    </row>
    <row r="39" spans="1:10" x14ac:dyDescent="0.2">
      <c r="A39" s="207" t="s">
        <v>43</v>
      </c>
      <c r="B39" s="220">
        <f>C31</f>
        <v>22.7</v>
      </c>
      <c r="C39" s="191">
        <f t="shared" si="0"/>
        <v>0</v>
      </c>
      <c r="D39" s="185"/>
      <c r="E39" s="189"/>
      <c r="J39" s="25"/>
    </row>
    <row r="40" spans="1:10" x14ac:dyDescent="0.2">
      <c r="A40" s="207" t="s">
        <v>49</v>
      </c>
      <c r="B40" s="220">
        <v>26</v>
      </c>
      <c r="C40" s="191">
        <f t="shared" si="0"/>
        <v>3.3000000000000007</v>
      </c>
      <c r="D40" s="185"/>
      <c r="E40" s="189"/>
      <c r="J40" s="25"/>
    </row>
    <row r="41" spans="1:10" x14ac:dyDescent="0.2">
      <c r="A41" s="207" t="s">
        <v>50</v>
      </c>
      <c r="B41" s="76">
        <f>27+15/16</f>
        <v>27.9375</v>
      </c>
      <c r="C41" s="191">
        <f t="shared" si="0"/>
        <v>5.2375000000000007</v>
      </c>
      <c r="D41" s="185"/>
      <c r="E41" s="189"/>
      <c r="J41" s="25"/>
    </row>
    <row r="42" spans="1:10" ht="13.5" thickBot="1" x14ac:dyDescent="0.25">
      <c r="A42" s="208" t="s">
        <v>31</v>
      </c>
      <c r="B42" s="78">
        <v>46.875</v>
      </c>
      <c r="C42" s="197">
        <f t="shared" si="0"/>
        <v>24.175000000000001</v>
      </c>
      <c r="D42" s="198"/>
      <c r="E42" s="189"/>
      <c r="J42" s="25"/>
    </row>
    <row r="43" spans="1:10" ht="13.5" thickBot="1" x14ac:dyDescent="0.25">
      <c r="A43" s="85"/>
      <c r="B43" s="85"/>
      <c r="C43" s="85"/>
      <c r="D43" s="85"/>
      <c r="E43" s="85"/>
      <c r="J43" s="25"/>
    </row>
    <row r="44" spans="1:10" x14ac:dyDescent="0.2">
      <c r="A44" s="51" t="s">
        <v>57</v>
      </c>
      <c r="B44" s="182"/>
      <c r="C44" s="182"/>
      <c r="D44" s="183"/>
      <c r="E44" s="85"/>
      <c r="J44" s="25"/>
    </row>
    <row r="45" spans="1:10" ht="13.5" thickBot="1" x14ac:dyDescent="0.25">
      <c r="A45" s="186"/>
      <c r="B45" s="189"/>
      <c r="C45" s="189"/>
      <c r="D45" s="185"/>
      <c r="E45" s="85"/>
      <c r="J45" s="25"/>
    </row>
    <row r="46" spans="1:10" ht="27.75" customHeight="1" x14ac:dyDescent="0.2">
      <c r="A46" s="53" t="s">
        <v>75</v>
      </c>
      <c r="B46" s="53" t="s">
        <v>58</v>
      </c>
      <c r="C46" s="32" t="s">
        <v>51</v>
      </c>
      <c r="D46" s="167" t="s">
        <v>52</v>
      </c>
      <c r="E46" s="53" t="s">
        <v>89</v>
      </c>
      <c r="J46" s="25"/>
    </row>
    <row r="47" spans="1:10" ht="13.5" thickBot="1" x14ac:dyDescent="0.25">
      <c r="A47" s="56" t="s">
        <v>76</v>
      </c>
      <c r="B47" s="54"/>
      <c r="C47" s="57" t="s">
        <v>63</v>
      </c>
      <c r="D47" s="56" t="s">
        <v>64</v>
      </c>
      <c r="E47" s="312" t="s">
        <v>90</v>
      </c>
      <c r="J47" s="25"/>
    </row>
    <row r="48" spans="1:10" x14ac:dyDescent="0.2">
      <c r="A48" s="79">
        <v>1</v>
      </c>
      <c r="B48" s="58" t="str">
        <f t="shared" ref="B48:B55" si="1">A35</f>
        <v>Forward top</v>
      </c>
      <c r="C48" s="80">
        <v>0</v>
      </c>
      <c r="D48" s="210">
        <f t="shared" ref="D48:D55" si="2">C35*C48</f>
        <v>0</v>
      </c>
      <c r="E48" s="313"/>
      <c r="F48" s="360" t="str">
        <f t="shared" ref="F48:F56" si="3">IF(ABS(C48)&gt;5000,"Error: Weight adjustment too high","")</f>
        <v/>
      </c>
      <c r="J48" s="25"/>
    </row>
    <row r="49" spans="1:10" x14ac:dyDescent="0.2">
      <c r="A49" s="80">
        <v>1</v>
      </c>
      <c r="B49" s="58" t="str">
        <f t="shared" si="1"/>
        <v>Forward bottom</v>
      </c>
      <c r="C49" s="80">
        <v>0</v>
      </c>
      <c r="D49" s="199">
        <f t="shared" si="2"/>
        <v>0</v>
      </c>
      <c r="E49" s="314"/>
      <c r="F49" s="360" t="str">
        <f t="shared" si="3"/>
        <v/>
      </c>
      <c r="J49" s="25"/>
    </row>
    <row r="50" spans="1:10" x14ac:dyDescent="0.2">
      <c r="A50" s="80">
        <v>1</v>
      </c>
      <c r="B50" s="58" t="str">
        <f t="shared" si="1"/>
        <v>Sci fwd bottles</v>
      </c>
      <c r="C50" s="80">
        <v>0</v>
      </c>
      <c r="D50" s="199">
        <f t="shared" si="2"/>
        <v>0</v>
      </c>
      <c r="E50" s="314"/>
      <c r="F50" s="360" t="str">
        <f t="shared" si="3"/>
        <v/>
      </c>
      <c r="J50" s="25"/>
    </row>
    <row r="51" spans="1:10" x14ac:dyDescent="0.2">
      <c r="A51" s="80">
        <v>1</v>
      </c>
      <c r="B51" s="58" t="str">
        <f t="shared" si="1"/>
        <v>Sci fwd disc</v>
      </c>
      <c r="C51" s="80">
        <v>0</v>
      </c>
      <c r="D51" s="199">
        <f t="shared" si="2"/>
        <v>0</v>
      </c>
      <c r="E51" s="314"/>
      <c r="F51" s="360" t="str">
        <f t="shared" si="3"/>
        <v/>
      </c>
      <c r="J51" s="25"/>
    </row>
    <row r="52" spans="1:10" x14ac:dyDescent="0.2">
      <c r="A52" s="80">
        <v>1</v>
      </c>
      <c r="B52" s="58" t="str">
        <f t="shared" si="1"/>
        <v>Center</v>
      </c>
      <c r="C52" s="80">
        <v>0</v>
      </c>
      <c r="D52" s="199">
        <f t="shared" si="2"/>
        <v>0</v>
      </c>
      <c r="E52" s="314"/>
      <c r="F52" s="360" t="str">
        <f t="shared" si="3"/>
        <v/>
      </c>
      <c r="J52" s="25"/>
    </row>
    <row r="53" spans="1:10" x14ac:dyDescent="0.2">
      <c r="A53" s="80">
        <v>1</v>
      </c>
      <c r="B53" s="58" t="str">
        <f t="shared" si="1"/>
        <v>Sci aft disc</v>
      </c>
      <c r="C53" s="80">
        <v>0</v>
      </c>
      <c r="D53" s="199">
        <f t="shared" si="2"/>
        <v>0</v>
      </c>
      <c r="E53" s="314"/>
      <c r="F53" s="360" t="str">
        <f t="shared" si="3"/>
        <v/>
      </c>
      <c r="J53" s="25"/>
    </row>
    <row r="54" spans="1:10" x14ac:dyDescent="0.2">
      <c r="A54" s="80">
        <v>1</v>
      </c>
      <c r="B54" s="58" t="str">
        <f t="shared" si="1"/>
        <v>Sci aft bottles</v>
      </c>
      <c r="C54" s="80">
        <v>0</v>
      </c>
      <c r="D54" s="199">
        <f t="shared" si="2"/>
        <v>0</v>
      </c>
      <c r="E54" s="314"/>
      <c r="F54" s="360" t="str">
        <f t="shared" si="3"/>
        <v/>
      </c>
      <c r="J54" s="25"/>
    </row>
    <row r="55" spans="1:10" ht="13.5" thickBot="1" x14ac:dyDescent="0.25">
      <c r="A55" s="81">
        <v>1</v>
      </c>
      <c r="B55" s="54" t="str">
        <f t="shared" si="1"/>
        <v>Aft</v>
      </c>
      <c r="C55" s="81">
        <v>0</v>
      </c>
      <c r="D55" s="200">
        <f t="shared" si="2"/>
        <v>0</v>
      </c>
      <c r="E55" s="315"/>
      <c r="F55" s="360" t="str">
        <f t="shared" si="3"/>
        <v/>
      </c>
      <c r="J55" s="25"/>
    </row>
    <row r="56" spans="1:10" ht="13.5" thickBot="1" x14ac:dyDescent="0.25">
      <c r="A56" s="193"/>
      <c r="B56" s="201"/>
      <c r="C56" s="180">
        <f>SUM(C48:C55)</f>
        <v>0</v>
      </c>
      <c r="D56" s="202">
        <f>SUM(D48:D55)</f>
        <v>0</v>
      </c>
      <c r="E56" s="85"/>
      <c r="F56" s="360" t="str">
        <f t="shared" si="3"/>
        <v/>
      </c>
      <c r="J56" s="25"/>
    </row>
    <row r="57" spans="1:10" ht="13.5" customHeight="1" thickBot="1" x14ac:dyDescent="0.25">
      <c r="A57" s="85"/>
      <c r="B57" s="85"/>
      <c r="C57" s="85"/>
      <c r="D57" s="85"/>
      <c r="E57" s="85"/>
    </row>
    <row r="58" spans="1:10" ht="13.5" customHeight="1" x14ac:dyDescent="0.2">
      <c r="A58" s="51" t="s">
        <v>59</v>
      </c>
      <c r="B58" s="32"/>
      <c r="C58" s="32"/>
      <c r="D58" s="33"/>
      <c r="E58" s="25"/>
      <c r="F58" s="361"/>
      <c r="G58" s="22"/>
    </row>
    <row r="59" spans="1:10" ht="13.5" customHeight="1" x14ac:dyDescent="0.2">
      <c r="A59" s="37"/>
      <c r="B59" s="60">
        <f>ABS((C18+C19-C20)+C56)</f>
        <v>521.42598206305024</v>
      </c>
      <c r="C59" s="27" t="str">
        <f>IF(((C18+C19-C20)+C56)&gt;=0,"additional grams need to be removed", "additional grams need to be added")</f>
        <v>additional grams need to be added</v>
      </c>
      <c r="D59" s="36"/>
      <c r="E59" s="25"/>
      <c r="F59" s="350"/>
      <c r="G59" s="27"/>
      <c r="I59" s="61"/>
    </row>
    <row r="60" spans="1:10" ht="13.5" customHeight="1" x14ac:dyDescent="0.2">
      <c r="A60" s="37"/>
      <c r="B60" s="42">
        <f>ABS((C28+D56)/(B71-B70))</f>
        <v>0</v>
      </c>
      <c r="C60" s="42" t="str">
        <f>CONCATENATE("Grams need to move from ",IF((C28+D56)&lt;=0,INDEX(A35:A42,B67,1),INDEX(A35:A42,B68,1))," to ",IF((C28+D56)&lt;=0,INDEX(A35:A42,B68,1),INDEX(A35:A42,B67,1)))</f>
        <v>Grams need to move from Forward top to Aft</v>
      </c>
      <c r="D60" s="36"/>
      <c r="E60" s="25"/>
      <c r="F60" s="350"/>
      <c r="G60" s="25"/>
    </row>
    <row r="61" spans="1:10" ht="13.5" customHeight="1"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top to this:</v>
      </c>
      <c r="D61" s="36"/>
      <c r="E61" s="25"/>
      <c r="F61" s="350" t="s">
        <v>84</v>
      </c>
      <c r="G61" s="25"/>
    </row>
    <row r="62" spans="1:10" ht="13.5" customHeight="1"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25"/>
      <c r="F62" s="350" t="s">
        <v>85</v>
      </c>
      <c r="G62" s="25"/>
    </row>
    <row r="63" spans="1:10" ht="13.5" customHeight="1" x14ac:dyDescent="0.2">
      <c r="A63" s="25"/>
      <c r="B63" s="42"/>
      <c r="C63" s="62"/>
      <c r="D63" s="311"/>
      <c r="E63" s="25"/>
      <c r="F63" s="350"/>
      <c r="G63" s="25"/>
    </row>
    <row r="64" spans="1:10" ht="13.5" customHeight="1" x14ac:dyDescent="0.2">
      <c r="A64" s="25"/>
      <c r="B64" s="42"/>
      <c r="C64" s="62"/>
      <c r="D64" s="25"/>
      <c r="E64" s="25"/>
      <c r="F64" s="350"/>
      <c r="G64" s="25"/>
    </row>
    <row r="65" spans="1:15" s="3" customFormat="1" ht="13.5" customHeight="1" x14ac:dyDescent="0.2">
      <c r="A65" s="1"/>
      <c r="B65" s="1"/>
      <c r="C65" s="1"/>
      <c r="D65" s="1"/>
      <c r="E65" s="1"/>
      <c r="F65" s="362"/>
      <c r="G65" s="2"/>
    </row>
    <row r="66" spans="1:15" s="8" customFormat="1" ht="15" hidden="1" customHeight="1" x14ac:dyDescent="0.2">
      <c r="A66" s="4" t="s">
        <v>62</v>
      </c>
      <c r="B66" s="5"/>
      <c r="C66" s="5"/>
      <c r="D66" s="6"/>
      <c r="E66" s="3"/>
      <c r="F66" s="363"/>
      <c r="G66" s="7"/>
    </row>
    <row r="67" spans="1:15" s="8" customFormat="1" hidden="1" x14ac:dyDescent="0.2">
      <c r="A67" s="9"/>
      <c r="B67" s="10">
        <f>IF(A48,1,IF(A49,2,IF(A50,3,IF(A51,4,IF(A52,5,IF(A53,6,IF(A54,7,"Error")))))))</f>
        <v>1</v>
      </c>
      <c r="C67" s="10" t="s">
        <v>53</v>
      </c>
      <c r="D67" s="11"/>
      <c r="E67" s="3"/>
      <c r="F67" s="363"/>
      <c r="G67" s="7"/>
    </row>
    <row r="68" spans="1:15" s="8" customFormat="1" ht="13.5" hidden="1" customHeight="1" x14ac:dyDescent="0.2">
      <c r="A68" s="9"/>
      <c r="B68" s="10">
        <f>IF(A55,8,IF(A54,7,IF(A53,6,IF(A52,5,IF(A51,4,IF(A50,3,IF(A49,2,"error")))))))</f>
        <v>8</v>
      </c>
      <c r="C68" s="10" t="s">
        <v>54</v>
      </c>
      <c r="D68" s="11"/>
      <c r="E68" s="3"/>
      <c r="F68" s="363"/>
      <c r="G68" s="7"/>
    </row>
    <row r="69" spans="1:15" s="14" customFormat="1" ht="11.25" hidden="1" x14ac:dyDescent="0.2">
      <c r="A69" s="12"/>
      <c r="B69" s="10"/>
      <c r="C69" s="10"/>
      <c r="D69" s="13"/>
      <c r="F69" s="364"/>
    </row>
    <row r="70" spans="1:15" s="8" customFormat="1" hidden="1" x14ac:dyDescent="0.2">
      <c r="A70" s="9"/>
      <c r="B70" s="10">
        <f>INDEX(C35:C42,IF(A48,1,IF(A49,2,IF(A50,3,IF(A51,4,IF(A52,5,IF(A53,6,IF(A54,7,"Error"))))))))</f>
        <v>-20.7</v>
      </c>
      <c r="C70" s="10" t="s">
        <v>55</v>
      </c>
      <c r="D70" s="15"/>
      <c r="E70" s="16"/>
      <c r="F70" s="365"/>
      <c r="G70" s="16"/>
      <c r="H70" s="16"/>
      <c r="I70" s="16"/>
      <c r="J70" s="16"/>
      <c r="K70" s="16"/>
    </row>
    <row r="71" spans="1:15" s="8" customFormat="1" ht="16.5" hidden="1" thickBot="1" x14ac:dyDescent="0.3">
      <c r="A71" s="17"/>
      <c r="B71" s="18">
        <f>INDEX(C35:C42,IF(A55,8,IF(A54,7,IF(A53,6,IF(A52,5,IF(A51,4,IF(A50,3,IF(A49,2,"error"))))))))</f>
        <v>24.175000000000001</v>
      </c>
      <c r="C71" s="18" t="s">
        <v>56</v>
      </c>
      <c r="D71" s="19"/>
      <c r="E71" s="16"/>
      <c r="F71" s="365"/>
      <c r="G71" s="16"/>
      <c r="H71" s="16"/>
      <c r="I71" s="16"/>
      <c r="J71" s="16"/>
      <c r="K71" s="20"/>
    </row>
    <row r="72" spans="1:15" s="24" customFormat="1" x14ac:dyDescent="0.2">
      <c r="F72" s="366"/>
    </row>
    <row r="73" spans="1:15" s="24" customFormat="1" x14ac:dyDescent="0.2">
      <c r="A73" s="29" t="s">
        <v>82</v>
      </c>
      <c r="F73" s="366"/>
    </row>
    <row r="74" spans="1:15" s="69" customFormat="1" ht="30.75" customHeight="1" x14ac:dyDescent="0.2">
      <c r="A74" s="485" t="s">
        <v>83</v>
      </c>
      <c r="B74" s="482"/>
      <c r="C74" s="482"/>
      <c r="D74" s="482"/>
      <c r="E74" s="67"/>
      <c r="F74" s="367"/>
    </row>
    <row r="75" spans="1:15" s="66" customFormat="1" ht="73.5" customHeight="1" x14ac:dyDescent="0.2">
      <c r="A75" s="481" t="s">
        <v>179</v>
      </c>
      <c r="B75" s="482"/>
      <c r="C75" s="482"/>
      <c r="D75" s="482"/>
      <c r="F75" s="368"/>
    </row>
    <row r="76" spans="1:15" s="66" customFormat="1" ht="78" customHeight="1" x14ac:dyDescent="0.2">
      <c r="A76" s="481" t="s">
        <v>180</v>
      </c>
      <c r="B76" s="482"/>
      <c r="C76" s="482"/>
      <c r="D76" s="482"/>
      <c r="F76" s="368"/>
      <c r="H76" s="70"/>
      <c r="I76" s="70"/>
      <c r="J76" s="70"/>
      <c r="K76" s="70"/>
      <c r="L76" s="70"/>
      <c r="M76" s="70"/>
      <c r="N76" s="70"/>
      <c r="O76" s="70"/>
    </row>
    <row r="77" spans="1:15" s="66" customFormat="1" ht="78.75" customHeight="1" x14ac:dyDescent="0.2">
      <c r="A77" s="481" t="s">
        <v>181</v>
      </c>
      <c r="B77" s="482"/>
      <c r="C77" s="482"/>
      <c r="D77" s="482"/>
      <c r="F77" s="368"/>
      <c r="H77" s="70"/>
      <c r="I77" s="70"/>
      <c r="J77" s="70"/>
      <c r="K77" s="70"/>
      <c r="L77" s="70"/>
      <c r="M77" s="70"/>
      <c r="N77" s="70"/>
      <c r="O77" s="70"/>
    </row>
    <row r="78" spans="1:15" s="66" customFormat="1" ht="126" customHeight="1" x14ac:dyDescent="0.2">
      <c r="A78" s="481" t="s">
        <v>182</v>
      </c>
      <c r="B78" s="482"/>
      <c r="C78" s="482"/>
      <c r="D78" s="482"/>
      <c r="F78" s="368"/>
      <c r="H78" s="70"/>
      <c r="I78" s="70"/>
      <c r="J78" s="70"/>
      <c r="K78" s="70"/>
      <c r="L78" s="70"/>
      <c r="M78" s="70"/>
      <c r="N78" s="70"/>
      <c r="O78" s="70"/>
    </row>
    <row r="79" spans="1:15" s="66" customFormat="1" ht="60.75" customHeight="1" x14ac:dyDescent="0.2">
      <c r="A79" s="481" t="s">
        <v>183</v>
      </c>
      <c r="B79" s="482"/>
      <c r="C79" s="482"/>
      <c r="D79" s="482"/>
      <c r="E79" s="70"/>
      <c r="F79" s="368"/>
      <c r="H79" s="70"/>
      <c r="I79" s="70"/>
      <c r="J79" s="70"/>
      <c r="K79" s="70"/>
      <c r="L79" s="70"/>
      <c r="M79" s="70"/>
      <c r="N79" s="70"/>
      <c r="O79" s="70"/>
    </row>
    <row r="80" spans="1:15" ht="34.5" customHeight="1" x14ac:dyDescent="0.2">
      <c r="A80" s="483" t="s">
        <v>86</v>
      </c>
      <c r="B80" s="484"/>
      <c r="C80" s="484"/>
      <c r="D80" s="484"/>
      <c r="E80" s="25"/>
      <c r="F80" s="350"/>
      <c r="G80" s="25"/>
      <c r="H80" s="25"/>
      <c r="I80" s="25"/>
      <c r="J80" s="25"/>
      <c r="K80" s="25"/>
      <c r="L80" s="25"/>
      <c r="M80" s="25"/>
      <c r="N80" s="25"/>
      <c r="O80" s="25"/>
    </row>
    <row r="81" spans="1:15" x14ac:dyDescent="0.2">
      <c r="A81" s="25"/>
      <c r="B81" s="25"/>
      <c r="C81" s="71"/>
      <c r="D81" s="42"/>
      <c r="E81" s="25"/>
      <c r="F81" s="350"/>
      <c r="G81" s="25"/>
      <c r="H81" s="25"/>
      <c r="I81" s="25"/>
      <c r="J81" s="25"/>
      <c r="K81" s="25"/>
      <c r="L81" s="25"/>
      <c r="M81" s="25"/>
      <c r="N81" s="25"/>
      <c r="O81" s="25"/>
    </row>
    <row r="82" spans="1:15" x14ac:dyDescent="0.2">
      <c r="A82" s="25" t="s">
        <v>91</v>
      </c>
      <c r="B82" s="25"/>
      <c r="C82" s="71"/>
      <c r="D82" s="42"/>
      <c r="E82" s="25"/>
      <c r="F82" s="350"/>
      <c r="G82" s="25"/>
      <c r="H82" s="25"/>
      <c r="I82" s="25"/>
      <c r="J82" s="25"/>
      <c r="K82" s="25"/>
      <c r="L82" s="25"/>
      <c r="M82" s="25"/>
      <c r="N82" s="25"/>
      <c r="O82" s="25"/>
    </row>
    <row r="83" spans="1:15" x14ac:dyDescent="0.2">
      <c r="A83" s="25"/>
      <c r="B83" s="25"/>
      <c r="C83" s="71"/>
      <c r="D83" s="42"/>
      <c r="E83" s="25"/>
      <c r="F83" s="350"/>
      <c r="G83" s="25"/>
      <c r="H83" s="25"/>
      <c r="I83" s="25"/>
      <c r="J83" s="25"/>
      <c r="K83" s="25"/>
      <c r="L83" s="25"/>
      <c r="M83" s="25"/>
      <c r="N83" s="25"/>
      <c r="O83" s="25"/>
    </row>
    <row r="84" spans="1:15" x14ac:dyDescent="0.2">
      <c r="A84" s="25"/>
      <c r="B84" s="25"/>
      <c r="C84" s="71"/>
      <c r="D84" s="42"/>
      <c r="E84" s="25"/>
      <c r="F84" s="350"/>
      <c r="G84" s="25"/>
      <c r="H84" s="25"/>
      <c r="I84" s="25"/>
      <c r="J84" s="25"/>
      <c r="K84" s="25"/>
      <c r="L84" s="25"/>
      <c r="M84" s="25"/>
      <c r="N84" s="25"/>
      <c r="O84" s="25"/>
    </row>
    <row r="85" spans="1:15" x14ac:dyDescent="0.2">
      <c r="A85" s="25"/>
      <c r="B85" s="25"/>
      <c r="C85" s="71"/>
      <c r="D85" s="42"/>
      <c r="E85" s="25"/>
      <c r="F85" s="350"/>
      <c r="G85" s="25"/>
      <c r="H85" s="25"/>
      <c r="I85" s="25"/>
      <c r="J85" s="25"/>
      <c r="K85" s="25"/>
      <c r="L85" s="25"/>
      <c r="M85" s="25"/>
      <c r="N85" s="25"/>
      <c r="O85" s="25"/>
    </row>
    <row r="86" spans="1:15" x14ac:dyDescent="0.2">
      <c r="A86" s="25"/>
      <c r="B86" s="25"/>
      <c r="C86" s="71"/>
      <c r="D86" s="42"/>
      <c r="E86" s="25"/>
      <c r="F86" s="350"/>
      <c r="G86" s="25"/>
      <c r="H86" s="25"/>
      <c r="I86" s="25"/>
      <c r="J86" s="25"/>
      <c r="K86" s="25"/>
      <c r="L86" s="25"/>
      <c r="M86" s="25"/>
      <c r="N86" s="25"/>
      <c r="O86" s="25"/>
    </row>
    <row r="87" spans="1:15" x14ac:dyDescent="0.2">
      <c r="A87" s="25"/>
      <c r="B87" s="25"/>
      <c r="C87" s="25"/>
      <c r="D87" s="42"/>
      <c r="E87" s="27"/>
      <c r="F87" s="350"/>
      <c r="G87" s="25"/>
      <c r="H87" s="25"/>
      <c r="I87" s="25"/>
      <c r="J87" s="25"/>
      <c r="K87" s="25"/>
      <c r="L87" s="25"/>
      <c r="M87" s="25"/>
      <c r="N87" s="25"/>
      <c r="O87" s="25"/>
    </row>
    <row r="88" spans="1:15" x14ac:dyDescent="0.2">
      <c r="A88" s="25"/>
      <c r="B88" s="25"/>
      <c r="C88" s="25"/>
      <c r="D88" s="42"/>
      <c r="E88" s="42"/>
      <c r="F88" s="350"/>
      <c r="G88" s="25"/>
      <c r="H88" s="25"/>
      <c r="I88" s="25"/>
      <c r="J88" s="25"/>
      <c r="K88" s="25"/>
      <c r="L88" s="25"/>
      <c r="M88" s="25"/>
      <c r="N88" s="25"/>
      <c r="O88" s="25"/>
    </row>
    <row r="89" spans="1:15" x14ac:dyDescent="0.2">
      <c r="A89" s="25"/>
      <c r="B89" s="25"/>
      <c r="C89" s="71"/>
      <c r="D89" s="42"/>
      <c r="E89" s="25"/>
      <c r="F89" s="350"/>
      <c r="G89" s="25"/>
      <c r="H89" s="25"/>
      <c r="I89" s="25"/>
      <c r="J89" s="25"/>
      <c r="K89" s="25"/>
      <c r="L89" s="25"/>
      <c r="M89" s="25"/>
      <c r="N89" s="25"/>
      <c r="O89" s="25"/>
    </row>
    <row r="90" spans="1:15" x14ac:dyDescent="0.2">
      <c r="A90" s="25"/>
      <c r="B90" s="25"/>
      <c r="C90" s="71"/>
      <c r="D90" s="42"/>
      <c r="E90" s="25"/>
      <c r="F90" s="350"/>
      <c r="G90" s="25"/>
      <c r="H90" s="25"/>
      <c r="I90" s="25"/>
      <c r="J90" s="25"/>
      <c r="K90" s="25"/>
      <c r="L90" s="25"/>
      <c r="M90" s="25"/>
      <c r="N90" s="25"/>
      <c r="O90" s="25"/>
    </row>
    <row r="91" spans="1:15" x14ac:dyDescent="0.2">
      <c r="A91" s="25"/>
      <c r="B91" s="25"/>
      <c r="C91" s="25"/>
      <c r="D91" s="42"/>
      <c r="E91" s="27"/>
      <c r="F91" s="350"/>
      <c r="G91" s="25"/>
      <c r="H91" s="25"/>
      <c r="I91" s="25"/>
      <c r="J91" s="25"/>
      <c r="K91" s="25"/>
      <c r="L91" s="25"/>
      <c r="M91" s="25"/>
      <c r="N91" s="25"/>
      <c r="O91" s="25"/>
    </row>
    <row r="92" spans="1:15" x14ac:dyDescent="0.2">
      <c r="A92" s="25"/>
      <c r="B92" s="25"/>
      <c r="C92" s="25"/>
      <c r="D92" s="42"/>
      <c r="E92" s="25"/>
      <c r="F92" s="350"/>
      <c r="G92" s="25"/>
      <c r="H92" s="25"/>
      <c r="I92" s="25"/>
      <c r="J92" s="25"/>
      <c r="K92" s="25"/>
      <c r="L92" s="25"/>
      <c r="M92" s="25"/>
      <c r="N92" s="25"/>
      <c r="O92" s="25"/>
    </row>
    <row r="93" spans="1:15" x14ac:dyDescent="0.2">
      <c r="A93" s="25"/>
      <c r="B93" s="25"/>
      <c r="C93" s="25"/>
      <c r="D93" s="42"/>
      <c r="E93" s="42"/>
      <c r="F93" s="350"/>
      <c r="G93" s="25"/>
      <c r="H93" s="25"/>
      <c r="I93" s="25"/>
      <c r="J93" s="25"/>
      <c r="K93" s="25"/>
      <c r="L93" s="25"/>
      <c r="M93" s="25"/>
      <c r="N93" s="25"/>
      <c r="O93" s="25"/>
    </row>
    <row r="94" spans="1:15" x14ac:dyDescent="0.2">
      <c r="A94" s="25"/>
      <c r="B94" s="25"/>
      <c r="C94" s="71"/>
      <c r="D94" s="42"/>
      <c r="E94" s="25"/>
      <c r="F94" s="350"/>
      <c r="G94" s="25"/>
      <c r="H94" s="25"/>
      <c r="I94" s="25"/>
      <c r="J94" s="25"/>
      <c r="K94" s="25"/>
      <c r="L94" s="25"/>
      <c r="M94" s="25"/>
      <c r="N94" s="25"/>
      <c r="O94" s="25"/>
    </row>
    <row r="95" spans="1:15" x14ac:dyDescent="0.2">
      <c r="A95" s="25"/>
      <c r="B95" s="25"/>
      <c r="C95" s="71"/>
      <c r="D95" s="42"/>
      <c r="E95" s="25"/>
      <c r="F95" s="350"/>
      <c r="G95" s="25"/>
      <c r="H95" s="25"/>
      <c r="I95" s="25"/>
      <c r="J95" s="25"/>
      <c r="K95" s="25"/>
      <c r="L95" s="25"/>
      <c r="M95" s="25"/>
      <c r="N95" s="25"/>
      <c r="O95" s="25"/>
    </row>
    <row r="96" spans="1:15" x14ac:dyDescent="0.2">
      <c r="A96" s="25"/>
      <c r="B96" s="25"/>
      <c r="C96" s="25"/>
      <c r="D96" s="25"/>
      <c r="E96" s="25"/>
      <c r="F96" s="350"/>
      <c r="G96" s="25"/>
      <c r="H96" s="25"/>
      <c r="I96" s="25"/>
      <c r="J96" s="25"/>
      <c r="K96" s="25"/>
      <c r="L96" s="25"/>
      <c r="M96" s="25"/>
      <c r="N96" s="25"/>
      <c r="O96" s="25"/>
    </row>
    <row r="97" spans="1:13" x14ac:dyDescent="0.2">
      <c r="A97" s="25"/>
      <c r="B97" s="25"/>
      <c r="C97" s="25"/>
      <c r="D97" s="25"/>
      <c r="E97" s="25"/>
      <c r="F97" s="350"/>
      <c r="G97" s="25"/>
      <c r="H97" s="25"/>
      <c r="I97" s="25"/>
      <c r="J97" s="25"/>
      <c r="K97" s="25"/>
      <c r="L97" s="25"/>
      <c r="M97" s="25"/>
    </row>
  </sheetData>
  <mergeCells count="8">
    <mergeCell ref="A15:D15"/>
    <mergeCell ref="A79:D79"/>
    <mergeCell ref="A80:D80"/>
    <mergeCell ref="A74:D74"/>
    <mergeCell ref="A75:D75"/>
    <mergeCell ref="A76:D76"/>
    <mergeCell ref="A77:D77"/>
    <mergeCell ref="A78:D78"/>
  </mergeCells>
  <phoneticPr fontId="0" type="noConversion"/>
  <pageMargins left="0.75" right="0.75" top="1" bottom="1" header="0.5" footer="0.5"/>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O82"/>
  <sheetViews>
    <sheetView zoomScaleNormal="100" zoomScaleSheetLayoutView="115" workbookViewId="0">
      <selection activeCell="O5" sqref="O5:O6"/>
    </sheetView>
  </sheetViews>
  <sheetFormatPr defaultColWidth="9.140625" defaultRowHeight="12.75" x14ac:dyDescent="0.2"/>
  <cols>
    <col min="1" max="1" width="27.7109375" style="21" customWidth="1"/>
    <col min="2" max="2" width="17.85546875" style="21" customWidth="1"/>
    <col min="3" max="3" width="23.28515625" style="21" customWidth="1"/>
    <col min="4" max="4" width="15.5703125" style="21" customWidth="1"/>
    <col min="5" max="5" width="16.5703125" style="21" customWidth="1"/>
    <col min="6" max="6" width="9.140625" style="90" customWidth="1"/>
    <col min="7" max="16384" width="9.140625" style="21"/>
  </cols>
  <sheetData>
    <row r="1" spans="1:15" customFormat="1" ht="20.25" customHeight="1" x14ac:dyDescent="0.2">
      <c r="A1" s="21"/>
      <c r="B1" s="21"/>
      <c r="C1" s="21"/>
      <c r="D1" s="171" t="s">
        <v>155</v>
      </c>
      <c r="E1" s="172" t="str">
        <f>Ballast!$H$1</f>
        <v>4095-GBPSH</v>
      </c>
      <c r="F1" s="359"/>
      <c r="H1" s="399" t="s">
        <v>250</v>
      </c>
      <c r="I1" s="385"/>
      <c r="J1" s="385"/>
      <c r="K1" s="394"/>
      <c r="L1" s="394"/>
      <c r="M1" s="394"/>
      <c r="N1" s="395"/>
    </row>
    <row r="2" spans="1:15" customFormat="1" ht="20.25" customHeight="1" x14ac:dyDescent="0.2">
      <c r="A2" s="21"/>
      <c r="B2" s="21"/>
      <c r="C2" s="21"/>
      <c r="D2" s="173" t="s">
        <v>156</v>
      </c>
      <c r="E2" s="174" t="str">
        <f>Ballast!$H$2</f>
        <v>F</v>
      </c>
      <c r="F2" s="359"/>
      <c r="H2" s="396"/>
      <c r="I2" s="392"/>
      <c r="J2" s="353"/>
      <c r="K2" s="353"/>
      <c r="L2" s="393" t="s">
        <v>255</v>
      </c>
      <c r="M2" s="388"/>
      <c r="N2" s="352" t="s">
        <v>10</v>
      </c>
      <c r="O2" s="400" t="s">
        <v>256</v>
      </c>
    </row>
    <row r="3" spans="1:15" customFormat="1" ht="20.25" customHeight="1" x14ac:dyDescent="0.2">
      <c r="A3" s="21"/>
      <c r="B3" s="21"/>
      <c r="C3" s="21"/>
      <c r="D3" s="173" t="s">
        <v>1</v>
      </c>
      <c r="E3" s="175">
        <f>Ballast!$H$3</f>
        <v>41813</v>
      </c>
      <c r="F3" s="359"/>
      <c r="H3" s="391"/>
      <c r="I3" s="350"/>
      <c r="J3" s="25"/>
      <c r="K3" s="25"/>
      <c r="L3" s="351" t="s">
        <v>252</v>
      </c>
      <c r="M3" s="388"/>
      <c r="N3" s="352" t="s">
        <v>10</v>
      </c>
      <c r="O3" s="400" t="s">
        <v>257</v>
      </c>
    </row>
    <row r="4" spans="1:15" customFormat="1" ht="20.25" customHeight="1" thickBot="1" x14ac:dyDescent="0.25">
      <c r="A4" s="21"/>
      <c r="B4" s="21"/>
      <c r="C4" s="21"/>
      <c r="D4" s="176" t="s">
        <v>157</v>
      </c>
      <c r="E4" s="177">
        <f>Ballast!$H$4</f>
        <v>12698</v>
      </c>
      <c r="F4" s="359"/>
      <c r="H4" s="391"/>
      <c r="I4" s="350"/>
      <c r="J4" s="25"/>
      <c r="K4" s="25"/>
      <c r="L4" s="354"/>
      <c r="M4" s="25"/>
      <c r="N4" s="36"/>
      <c r="O4" s="400"/>
    </row>
    <row r="5" spans="1:15" customFormat="1" ht="15" customHeight="1" thickBot="1" x14ac:dyDescent="0.25">
      <c r="A5" s="21"/>
      <c r="B5" s="21"/>
      <c r="C5" s="21"/>
      <c r="D5" s="21"/>
      <c r="E5" s="21"/>
      <c r="F5" s="359"/>
      <c r="H5" s="391"/>
      <c r="I5" s="350"/>
      <c r="J5" s="25"/>
      <c r="K5" s="25"/>
      <c r="L5" s="351" t="s">
        <v>251</v>
      </c>
      <c r="M5" s="402"/>
      <c r="N5" s="352" t="s">
        <v>243</v>
      </c>
      <c r="O5" s="400" t="s">
        <v>317</v>
      </c>
    </row>
    <row r="6" spans="1:15" customFormat="1" ht="15" customHeight="1" thickTop="1" thickBot="1" x14ac:dyDescent="0.25">
      <c r="A6" s="209"/>
      <c r="B6" s="209"/>
      <c r="C6" s="209"/>
      <c r="D6" s="209"/>
      <c r="E6" s="209"/>
      <c r="F6" s="359"/>
      <c r="H6" s="37"/>
      <c r="I6" s="350"/>
      <c r="J6" s="25"/>
      <c r="K6" s="25"/>
      <c r="L6" s="351" t="s">
        <v>237</v>
      </c>
      <c r="M6" s="402"/>
      <c r="N6" s="352" t="s">
        <v>224</v>
      </c>
      <c r="O6" s="400" t="s">
        <v>318</v>
      </c>
    </row>
    <row r="7" spans="1:15" x14ac:dyDescent="0.2">
      <c r="A7" s="168" t="s">
        <v>29</v>
      </c>
      <c r="B7" s="239" t="str">
        <f>IF(ISBLANK(Ballast!C13),"",Ballast!C13)</f>
        <v>631</v>
      </c>
      <c r="F7" s="349"/>
      <c r="H7" s="37"/>
      <c r="I7" s="350"/>
      <c r="J7" s="25"/>
      <c r="K7" s="25"/>
      <c r="L7" s="351" t="s">
        <v>239</v>
      </c>
      <c r="M7" s="402">
        <v>0</v>
      </c>
      <c r="N7" s="352" t="s">
        <v>253</v>
      </c>
      <c r="O7" s="401" t="s">
        <v>259</v>
      </c>
    </row>
    <row r="8" spans="1:15" ht="13.5" thickBot="1" x14ac:dyDescent="0.25">
      <c r="A8" s="169" t="s">
        <v>1</v>
      </c>
      <c r="B8" s="240">
        <f>IF(ISBLANK(Ballast!C15),"",Ballast!C15)</f>
        <v>44397</v>
      </c>
      <c r="F8" s="349"/>
      <c r="H8" s="37"/>
      <c r="I8" s="350"/>
      <c r="J8" s="25"/>
      <c r="K8" s="25"/>
      <c r="L8" s="351" t="s">
        <v>238</v>
      </c>
      <c r="M8" s="402">
        <v>0</v>
      </c>
      <c r="N8" s="352" t="s">
        <v>253</v>
      </c>
      <c r="O8" s="401" t="s">
        <v>259</v>
      </c>
    </row>
    <row r="9" spans="1:15" x14ac:dyDescent="0.2">
      <c r="A9" s="30"/>
      <c r="C9" s="85"/>
      <c r="D9" s="85"/>
      <c r="E9" s="85"/>
      <c r="F9" s="349"/>
      <c r="H9" s="37"/>
      <c r="I9" s="25"/>
      <c r="J9" s="25"/>
      <c r="K9" s="25"/>
      <c r="L9" s="351" t="s">
        <v>240</v>
      </c>
      <c r="M9" s="46">
        <f>AVERAGE(M7:M8)</f>
        <v>0</v>
      </c>
      <c r="N9" s="352" t="s">
        <v>253</v>
      </c>
      <c r="O9" s="401" t="s">
        <v>260</v>
      </c>
    </row>
    <row r="10" spans="1:15" x14ac:dyDescent="0.2">
      <c r="A10" s="30"/>
      <c r="C10" s="85"/>
      <c r="D10" s="85"/>
      <c r="E10" s="85"/>
      <c r="F10" s="349"/>
      <c r="H10" s="37"/>
      <c r="I10" s="25"/>
      <c r="J10" s="25"/>
      <c r="K10" s="25"/>
      <c r="L10" s="25"/>
      <c r="M10" s="25"/>
      <c r="N10" s="36"/>
      <c r="O10" s="401"/>
    </row>
    <row r="11" spans="1:15" ht="13.5" thickBot="1" x14ac:dyDescent="0.25">
      <c r="A11" s="30"/>
      <c r="C11" s="85"/>
      <c r="D11" s="85"/>
      <c r="E11" s="85"/>
      <c r="F11" s="349"/>
      <c r="H11" s="47"/>
      <c r="I11" s="357"/>
      <c r="J11" s="357"/>
      <c r="K11" s="357"/>
      <c r="L11" s="398" t="s">
        <v>254</v>
      </c>
      <c r="M11" s="397">
        <f>-M9</f>
        <v>0</v>
      </c>
      <c r="N11" s="55"/>
      <c r="O11" s="401" t="s">
        <v>258</v>
      </c>
    </row>
    <row r="12" spans="1:15" x14ac:dyDescent="0.2">
      <c r="A12" s="30"/>
      <c r="C12" s="85"/>
      <c r="D12" s="85"/>
      <c r="E12" s="85"/>
      <c r="F12" s="349"/>
    </row>
    <row r="13" spans="1:15" x14ac:dyDescent="0.2">
      <c r="A13" s="30"/>
      <c r="C13" s="85"/>
      <c r="D13" s="85"/>
      <c r="E13" s="85"/>
      <c r="F13" s="349"/>
    </row>
    <row r="14" spans="1:15" x14ac:dyDescent="0.2">
      <c r="A14" s="30"/>
      <c r="C14" s="85"/>
      <c r="D14" s="85"/>
      <c r="E14" s="85"/>
      <c r="F14" s="349"/>
    </row>
    <row r="15" spans="1:15" x14ac:dyDescent="0.2">
      <c r="A15" s="480" t="s">
        <v>173</v>
      </c>
      <c r="B15" s="480"/>
      <c r="C15" s="480"/>
      <c r="D15" s="480"/>
      <c r="E15" s="85"/>
      <c r="F15" s="349"/>
    </row>
    <row r="16" spans="1:15" ht="13.5" thickBot="1" x14ac:dyDescent="0.25">
      <c r="A16" s="30"/>
      <c r="F16" s="349"/>
    </row>
    <row r="17" spans="1:14" ht="13.5" thickBot="1" x14ac:dyDescent="0.25">
      <c r="A17" s="31" t="s">
        <v>60</v>
      </c>
      <c r="B17" s="32"/>
      <c r="C17" s="32"/>
      <c r="D17" s="33"/>
      <c r="F17" s="349"/>
    </row>
    <row r="18" spans="1:14" x14ac:dyDescent="0.2">
      <c r="A18" s="34"/>
      <c r="B18" s="35" t="s">
        <v>39</v>
      </c>
      <c r="C18" s="72">
        <v>0</v>
      </c>
      <c r="D18" s="36" t="s">
        <v>10</v>
      </c>
      <c r="E18" s="383" t="s">
        <v>248</v>
      </c>
      <c r="F18" s="384"/>
      <c r="G18" s="385"/>
      <c r="H18" s="386"/>
      <c r="I18" s="385"/>
      <c r="J18" s="387"/>
    </row>
    <row r="19" spans="1:14" x14ac:dyDescent="0.2">
      <c r="A19" s="37"/>
      <c r="B19" s="38" t="s">
        <v>40</v>
      </c>
      <c r="C19" s="72">
        <v>0</v>
      </c>
      <c r="D19" s="36" t="s">
        <v>10</v>
      </c>
      <c r="E19" s="379" t="str">
        <f>IF(C19&gt;5000,"Error: scale reading too high",IF(C19&lt;0,"Error: scale reading should be positive",""))</f>
        <v/>
      </c>
      <c r="F19" s="350"/>
      <c r="G19" s="25"/>
      <c r="H19" s="380" t="s">
        <v>246</v>
      </c>
      <c r="I19" s="46">
        <f>Worksheet!G7</f>
        <v>74109</v>
      </c>
      <c r="J19" s="352" t="s">
        <v>10</v>
      </c>
    </row>
    <row r="20" spans="1:14" x14ac:dyDescent="0.2">
      <c r="A20" s="37"/>
      <c r="B20" s="38" t="s">
        <v>41</v>
      </c>
      <c r="C20" s="187">
        <f>Ballast!G39</f>
        <v>521.42598206305024</v>
      </c>
      <c r="D20" s="36" t="s">
        <v>10</v>
      </c>
      <c r="E20" s="186"/>
      <c r="F20" s="350"/>
      <c r="G20" s="25"/>
      <c r="H20" s="380" t="s">
        <v>247</v>
      </c>
      <c r="I20" s="403">
        <f>C18+C19</f>
        <v>0</v>
      </c>
      <c r="J20" s="352" t="s">
        <v>10</v>
      </c>
    </row>
    <row r="21" spans="1:14" x14ac:dyDescent="0.2">
      <c r="A21" s="39"/>
      <c r="B21" s="40" t="s">
        <v>284</v>
      </c>
      <c r="C21" s="188">
        <f>C20-(C18+C19)</f>
        <v>521.42598206305024</v>
      </c>
      <c r="D21" s="41" t="s">
        <v>10</v>
      </c>
      <c r="E21" s="186"/>
      <c r="F21" s="350"/>
      <c r="G21" s="25"/>
      <c r="H21" s="380" t="s">
        <v>245</v>
      </c>
      <c r="I21" s="46">
        <f>(Worksheet!G7-I20)/(Ballast!C38/1000)</f>
        <v>72767.887827342085</v>
      </c>
      <c r="J21" s="352" t="s">
        <v>242</v>
      </c>
    </row>
    <row r="22" spans="1:14" ht="13.5" thickBot="1" x14ac:dyDescent="0.25">
      <c r="A22" s="193"/>
      <c r="B22" s="376" t="s">
        <v>241</v>
      </c>
      <c r="C22" s="377">
        <f>C21</f>
        <v>521.42598206305024</v>
      </c>
      <c r="D22" s="378" t="s">
        <v>10</v>
      </c>
      <c r="E22" s="193"/>
      <c r="F22" s="358"/>
      <c r="G22" s="357"/>
      <c r="H22" s="381" t="s">
        <v>244</v>
      </c>
      <c r="I22" s="390">
        <f>M25+((Ballast!E38/1000)*I21)-I19</f>
        <v>532.4220708329085</v>
      </c>
      <c r="J22" s="382" t="s">
        <v>10</v>
      </c>
      <c r="K22" s="389" t="s">
        <v>249</v>
      </c>
    </row>
    <row r="23" spans="1:14" x14ac:dyDescent="0.2">
      <c r="A23" s="186"/>
      <c r="B23" s="43" t="s">
        <v>38</v>
      </c>
      <c r="C23" s="44" t="s">
        <v>42</v>
      </c>
      <c r="D23" s="36"/>
      <c r="E23" s="85"/>
      <c r="F23" s="349"/>
    </row>
    <row r="24" spans="1:14" x14ac:dyDescent="0.2">
      <c r="A24" s="186"/>
      <c r="B24" s="45" t="s">
        <v>66</v>
      </c>
      <c r="C24" s="45" t="s">
        <v>66</v>
      </c>
      <c r="D24" s="36"/>
      <c r="E24" s="85"/>
      <c r="F24" s="349"/>
    </row>
    <row r="25" spans="1:14" x14ac:dyDescent="0.2">
      <c r="A25" s="46" t="s">
        <v>33</v>
      </c>
      <c r="B25" s="73">
        <v>1</v>
      </c>
      <c r="C25" s="191">
        <f>B25-$C$31</f>
        <v>-22</v>
      </c>
      <c r="D25" s="36"/>
      <c r="E25" s="85" t="str">
        <f>IF(B25&lt;-10,"Error: Check scale position",IF(B25&gt;30, "Error, check scale position",""))</f>
        <v/>
      </c>
      <c r="F25" s="413"/>
      <c r="G25" s="414"/>
      <c r="H25" s="415"/>
      <c r="I25" s="414"/>
      <c r="J25" s="415"/>
      <c r="K25" s="414"/>
      <c r="L25" s="417" t="s">
        <v>283</v>
      </c>
      <c r="M25" s="416">
        <f>I21*10^-3*53.5*10^-6*(Ballast!E32-Ballast!C32)*Ballast!E38</f>
        <v>-110.37850873579116</v>
      </c>
      <c r="N25" s="24" t="s">
        <v>10</v>
      </c>
    </row>
    <row r="26" spans="1:14" x14ac:dyDescent="0.2">
      <c r="A26" s="46" t="s">
        <v>34</v>
      </c>
      <c r="B26" s="73">
        <v>47.5</v>
      </c>
      <c r="C26" s="191">
        <f>B26-$C$31</f>
        <v>24.5</v>
      </c>
      <c r="D26" s="36"/>
      <c r="E26" s="85" t="str">
        <f>IF(B26&lt;20,"Error: Check scale position",IF(B26&gt;70, "Error, check scale position",""))</f>
        <v/>
      </c>
      <c r="F26" s="349"/>
    </row>
    <row r="27" spans="1:14" x14ac:dyDescent="0.2">
      <c r="A27" s="186"/>
      <c r="B27" s="192"/>
      <c r="C27" s="189"/>
      <c r="D27" s="36"/>
      <c r="E27" s="85"/>
      <c r="F27" s="349"/>
    </row>
    <row r="28" spans="1:14" ht="13.5" thickBot="1" x14ac:dyDescent="0.25">
      <c r="A28" s="47"/>
      <c r="B28" s="48" t="s">
        <v>74</v>
      </c>
      <c r="C28" s="180">
        <f>(C18*C25)+(C19*C26)</f>
        <v>0</v>
      </c>
      <c r="D28" s="49" t="s">
        <v>30</v>
      </c>
      <c r="E28" s="85"/>
      <c r="F28" s="349"/>
    </row>
    <row r="29" spans="1:14" ht="13.5" thickBot="1" x14ac:dyDescent="0.25">
      <c r="A29" s="189"/>
      <c r="B29" s="194"/>
      <c r="C29" s="189"/>
      <c r="D29" s="189"/>
      <c r="E29" s="189"/>
      <c r="F29" s="350" t="s">
        <v>81</v>
      </c>
    </row>
    <row r="30" spans="1:14" x14ac:dyDescent="0.2">
      <c r="A30" s="51" t="s">
        <v>36</v>
      </c>
      <c r="B30" s="182"/>
      <c r="C30" s="182"/>
      <c r="D30" s="183"/>
      <c r="E30" s="189"/>
      <c r="F30" s="349" t="s">
        <v>61</v>
      </c>
    </row>
    <row r="31" spans="1:14" x14ac:dyDescent="0.2">
      <c r="A31" s="37"/>
      <c r="B31" s="52" t="s">
        <v>35</v>
      </c>
      <c r="C31" s="74">
        <v>23</v>
      </c>
      <c r="D31" s="195"/>
      <c r="E31" s="189"/>
      <c r="F31" s="349" t="s">
        <v>37</v>
      </c>
    </row>
    <row r="32" spans="1:14" ht="13.5" thickBot="1" x14ac:dyDescent="0.25">
      <c r="A32" s="37"/>
      <c r="B32" s="25"/>
      <c r="C32" s="189"/>
      <c r="D32" s="185"/>
      <c r="E32" s="189"/>
      <c r="F32" s="349" t="s">
        <v>68</v>
      </c>
    </row>
    <row r="33" spans="1:6" x14ac:dyDescent="0.2">
      <c r="A33" s="53" t="s">
        <v>44</v>
      </c>
      <c r="B33" s="53" t="s">
        <v>65</v>
      </c>
      <c r="C33" s="53" t="s">
        <v>67</v>
      </c>
      <c r="D33" s="185"/>
      <c r="E33" s="189"/>
      <c r="F33" s="349" t="s">
        <v>87</v>
      </c>
    </row>
    <row r="34" spans="1:6" ht="13.5" thickBot="1" x14ac:dyDescent="0.25">
      <c r="A34" s="54"/>
      <c r="B34" s="54" t="s">
        <v>66</v>
      </c>
      <c r="C34" s="54" t="s">
        <v>66</v>
      </c>
      <c r="D34" s="185"/>
      <c r="E34" s="189"/>
      <c r="F34" s="349" t="s">
        <v>88</v>
      </c>
    </row>
    <row r="35" spans="1:6" x14ac:dyDescent="0.2">
      <c r="A35" s="206" t="s">
        <v>78</v>
      </c>
      <c r="B35" s="75">
        <v>2</v>
      </c>
      <c r="C35" s="196">
        <f t="shared" ref="C35:C42" si="0">B35-C$31</f>
        <v>-21</v>
      </c>
      <c r="D35" s="185"/>
      <c r="E35" s="189"/>
      <c r="F35" s="349"/>
    </row>
    <row r="36" spans="1:6" x14ac:dyDescent="0.2">
      <c r="A36" s="207" t="s">
        <v>79</v>
      </c>
      <c r="B36" s="227">
        <v>9999</v>
      </c>
      <c r="C36" s="191">
        <f t="shared" si="0"/>
        <v>9976</v>
      </c>
      <c r="D36" s="185"/>
      <c r="E36" s="189"/>
    </row>
    <row r="37" spans="1:6" x14ac:dyDescent="0.2">
      <c r="A37" s="207" t="s">
        <v>47</v>
      </c>
      <c r="B37" s="220">
        <v>20.375</v>
      </c>
      <c r="C37" s="191">
        <f t="shared" si="0"/>
        <v>-2.625</v>
      </c>
      <c r="D37" s="185"/>
      <c r="E37" s="189"/>
      <c r="F37" s="349"/>
    </row>
    <row r="38" spans="1:6" x14ac:dyDescent="0.2">
      <c r="A38" s="207" t="s">
        <v>48</v>
      </c>
      <c r="B38" s="220">
        <v>22.125</v>
      </c>
      <c r="C38" s="191">
        <f t="shared" si="0"/>
        <v>-0.875</v>
      </c>
      <c r="D38" s="185"/>
      <c r="E38" s="189"/>
      <c r="F38" s="349"/>
    </row>
    <row r="39" spans="1:6" x14ac:dyDescent="0.2">
      <c r="A39" s="207" t="s">
        <v>43</v>
      </c>
      <c r="B39" s="220">
        <v>23</v>
      </c>
      <c r="C39" s="191">
        <f t="shared" si="0"/>
        <v>0</v>
      </c>
      <c r="D39" s="185"/>
      <c r="E39" s="189"/>
      <c r="F39" s="349"/>
    </row>
    <row r="40" spans="1:6" x14ac:dyDescent="0.2">
      <c r="A40" s="207" t="s">
        <v>49</v>
      </c>
      <c r="B40" s="220">
        <v>26.5</v>
      </c>
      <c r="C40" s="191">
        <f t="shared" si="0"/>
        <v>3.5</v>
      </c>
      <c r="D40" s="185"/>
      <c r="E40" s="189"/>
      <c r="F40" s="349"/>
    </row>
    <row r="41" spans="1:6" x14ac:dyDescent="0.2">
      <c r="A41" s="207" t="s">
        <v>50</v>
      </c>
      <c r="B41" s="76">
        <v>28.375</v>
      </c>
      <c r="C41" s="191">
        <f t="shared" si="0"/>
        <v>5.375</v>
      </c>
      <c r="D41" s="185"/>
      <c r="E41" s="189"/>
      <c r="F41" s="349"/>
    </row>
    <row r="42" spans="1:6" ht="13.5" thickBot="1" x14ac:dyDescent="0.25">
      <c r="A42" s="208" t="s">
        <v>31</v>
      </c>
      <c r="B42" s="78">
        <v>47.5</v>
      </c>
      <c r="C42" s="197">
        <f t="shared" si="0"/>
        <v>24.5</v>
      </c>
      <c r="D42" s="198"/>
      <c r="E42" s="189"/>
      <c r="F42" s="349"/>
    </row>
    <row r="43" spans="1:6" ht="13.5" thickBot="1" x14ac:dyDescent="0.25">
      <c r="A43" s="85"/>
      <c r="B43" s="85"/>
      <c r="C43" s="85"/>
      <c r="D43" s="85"/>
      <c r="E43" s="85"/>
      <c r="F43" s="349"/>
    </row>
    <row r="44" spans="1:6" x14ac:dyDescent="0.2">
      <c r="A44" s="51" t="s">
        <v>57</v>
      </c>
      <c r="B44" s="182"/>
      <c r="C44" s="182"/>
      <c r="D44" s="183"/>
      <c r="E44" s="85"/>
      <c r="F44" s="349"/>
    </row>
    <row r="45" spans="1:6" ht="13.5" thickBot="1" x14ac:dyDescent="0.25">
      <c r="A45" s="186"/>
      <c r="B45" s="189"/>
      <c r="C45" s="189"/>
      <c r="D45" s="185"/>
      <c r="E45" s="85"/>
      <c r="F45" s="349"/>
    </row>
    <row r="46" spans="1:6" ht="26.25" customHeight="1" x14ac:dyDescent="0.2">
      <c r="A46" s="53" t="s">
        <v>75</v>
      </c>
      <c r="B46" s="53" t="s">
        <v>58</v>
      </c>
      <c r="C46" s="32" t="s">
        <v>51</v>
      </c>
      <c r="D46" s="167" t="s">
        <v>52</v>
      </c>
      <c r="E46" s="204" t="s">
        <v>89</v>
      </c>
      <c r="F46" s="349"/>
    </row>
    <row r="47" spans="1:6" ht="13.5" thickBot="1" x14ac:dyDescent="0.25">
      <c r="A47" s="56" t="s">
        <v>76</v>
      </c>
      <c r="B47" s="54"/>
      <c r="C47" s="57" t="s">
        <v>63</v>
      </c>
      <c r="D47" s="56" t="s">
        <v>64</v>
      </c>
      <c r="E47" s="205" t="s">
        <v>90</v>
      </c>
      <c r="F47" s="349"/>
    </row>
    <row r="48" spans="1:6" x14ac:dyDescent="0.2">
      <c r="A48" s="79">
        <v>1</v>
      </c>
      <c r="B48" s="58" t="str">
        <f t="shared" ref="B48:B55" si="1">A35</f>
        <v>Forward</v>
      </c>
      <c r="C48" s="80">
        <v>0</v>
      </c>
      <c r="D48" s="199">
        <f t="shared" ref="D48:D55" si="2">C35*C48</f>
        <v>0</v>
      </c>
      <c r="E48" s="86"/>
      <c r="F48" s="360" t="str">
        <f t="shared" ref="F48:F56" si="3">IF(ABS(C48)&gt;5000,"Error: Weight adjustment too high","")</f>
        <v/>
      </c>
    </row>
    <row r="49" spans="1:6" x14ac:dyDescent="0.2">
      <c r="A49" s="80">
        <v>0</v>
      </c>
      <c r="B49" s="58" t="str">
        <f t="shared" si="1"/>
        <v>unused</v>
      </c>
      <c r="C49" s="80">
        <v>0</v>
      </c>
      <c r="D49" s="199">
        <f t="shared" si="2"/>
        <v>0</v>
      </c>
      <c r="E49" s="87"/>
      <c r="F49" s="360" t="str">
        <f t="shared" si="3"/>
        <v/>
      </c>
    </row>
    <row r="50" spans="1:6" x14ac:dyDescent="0.2">
      <c r="A50" s="80">
        <v>1</v>
      </c>
      <c r="B50" s="58" t="str">
        <f t="shared" si="1"/>
        <v>Sci fwd bottles</v>
      </c>
      <c r="C50" s="80">
        <v>0</v>
      </c>
      <c r="D50" s="199">
        <f t="shared" si="2"/>
        <v>0</v>
      </c>
      <c r="E50" s="87"/>
      <c r="F50" s="360" t="str">
        <f t="shared" si="3"/>
        <v/>
      </c>
    </row>
    <row r="51" spans="1:6" x14ac:dyDescent="0.2">
      <c r="A51" s="80">
        <v>1</v>
      </c>
      <c r="B51" s="58" t="str">
        <f t="shared" si="1"/>
        <v>Sci fwd disc</v>
      </c>
      <c r="C51" s="80">
        <v>0</v>
      </c>
      <c r="D51" s="199">
        <f t="shared" si="2"/>
        <v>0</v>
      </c>
      <c r="E51" s="87"/>
      <c r="F51" s="360" t="str">
        <f t="shared" si="3"/>
        <v/>
      </c>
    </row>
    <row r="52" spans="1:6" x14ac:dyDescent="0.2">
      <c r="A52" s="80">
        <v>1</v>
      </c>
      <c r="B52" s="58" t="str">
        <f t="shared" si="1"/>
        <v>Center</v>
      </c>
      <c r="C52" s="80">
        <v>0</v>
      </c>
      <c r="D52" s="199">
        <f t="shared" si="2"/>
        <v>0</v>
      </c>
      <c r="E52" s="87"/>
      <c r="F52" s="360" t="str">
        <f t="shared" si="3"/>
        <v/>
      </c>
    </row>
    <row r="53" spans="1:6" x14ac:dyDescent="0.2">
      <c r="A53" s="80">
        <v>1</v>
      </c>
      <c r="B53" s="58" t="str">
        <f t="shared" si="1"/>
        <v>Sci aft disc</v>
      </c>
      <c r="C53" s="80">
        <v>0</v>
      </c>
      <c r="D53" s="199">
        <f t="shared" si="2"/>
        <v>0</v>
      </c>
      <c r="E53" s="87"/>
      <c r="F53" s="360" t="str">
        <f t="shared" si="3"/>
        <v/>
      </c>
    </row>
    <row r="54" spans="1:6" x14ac:dyDescent="0.2">
      <c r="A54" s="80">
        <v>1</v>
      </c>
      <c r="B54" s="58" t="str">
        <f t="shared" si="1"/>
        <v>Sci aft bottles</v>
      </c>
      <c r="C54" s="80">
        <v>0</v>
      </c>
      <c r="D54" s="199">
        <f t="shared" si="2"/>
        <v>0</v>
      </c>
      <c r="E54" s="87"/>
      <c r="F54" s="360" t="str">
        <f t="shared" si="3"/>
        <v/>
      </c>
    </row>
    <row r="55" spans="1:6" ht="13.5" thickBot="1" x14ac:dyDescent="0.25">
      <c r="A55" s="81">
        <v>1</v>
      </c>
      <c r="B55" s="54" t="str">
        <f t="shared" si="1"/>
        <v>Aft</v>
      </c>
      <c r="C55" s="81">
        <v>0</v>
      </c>
      <c r="D55" s="200">
        <f t="shared" si="2"/>
        <v>0</v>
      </c>
      <c r="E55" s="88"/>
      <c r="F55" s="360" t="str">
        <f t="shared" si="3"/>
        <v/>
      </c>
    </row>
    <row r="56" spans="1:6" ht="13.5" thickBot="1" x14ac:dyDescent="0.25">
      <c r="A56" s="193"/>
      <c r="B56" s="201"/>
      <c r="C56" s="180">
        <f>SUM(C48:C55)</f>
        <v>0</v>
      </c>
      <c r="D56" s="202">
        <f>SUM(D48:D55)</f>
        <v>0</v>
      </c>
      <c r="E56" s="85"/>
      <c r="F56" s="360" t="str">
        <f t="shared" si="3"/>
        <v/>
      </c>
    </row>
    <row r="57" spans="1:6" ht="13.5" thickBot="1" x14ac:dyDescent="0.25">
      <c r="A57" s="85"/>
      <c r="B57" s="85"/>
      <c r="C57" s="85"/>
      <c r="D57" s="85"/>
      <c r="E57" s="85"/>
      <c r="F57" s="349"/>
    </row>
    <row r="58" spans="1:6" x14ac:dyDescent="0.2">
      <c r="A58" s="51" t="s">
        <v>59</v>
      </c>
      <c r="B58" s="32"/>
      <c r="C58" s="32"/>
      <c r="D58" s="33"/>
      <c r="E58" s="189"/>
      <c r="F58" s="361"/>
    </row>
    <row r="59" spans="1:6" x14ac:dyDescent="0.2">
      <c r="A59" s="37"/>
      <c r="B59" s="60">
        <f>ABS((C18+C19-C20)+C56)</f>
        <v>521.42598206305024</v>
      </c>
      <c r="C59" s="27" t="str">
        <f>IF(((C18+C19-C20)+C56)&gt;=0,"additional grams need to be removed", "additional grams need to be added")</f>
        <v>additional grams need to be added</v>
      </c>
      <c r="D59" s="36"/>
      <c r="E59" s="189"/>
      <c r="F59" s="350"/>
    </row>
    <row r="60" spans="1:6" x14ac:dyDescent="0.2">
      <c r="A60" s="37"/>
      <c r="B60" s="42">
        <f>ABS((C28+D56)/(B71-B70))</f>
        <v>0</v>
      </c>
      <c r="C60" s="42" t="str">
        <f>CONCATENATE("Grams need to move from ",IF((C28+D56)&lt;=0,INDEX(A35:A42,B67,1),INDEX(A35:A42,B68,1))," to ",IF((C28+D56)&lt;=0,INDEX(A35:A42,B68,1),INDEX(A35:A42,B67,1)))</f>
        <v>Grams need to move from Forward to Aft</v>
      </c>
      <c r="D60" s="36"/>
      <c r="E60" s="189"/>
      <c r="F60" s="350"/>
    </row>
    <row r="61" spans="1:6"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 this:</v>
      </c>
      <c r="D61" s="36"/>
      <c r="E61" s="189"/>
      <c r="F61" s="350" t="s">
        <v>84</v>
      </c>
    </row>
    <row r="62" spans="1:6" ht="13.5"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189"/>
      <c r="F62" s="350" t="s">
        <v>85</v>
      </c>
    </row>
    <row r="63" spans="1:6" x14ac:dyDescent="0.2">
      <c r="A63" s="189"/>
      <c r="B63" s="190"/>
      <c r="C63" s="203"/>
      <c r="D63" s="189"/>
      <c r="E63" s="189"/>
      <c r="F63" s="354"/>
    </row>
    <row r="64" spans="1:6" x14ac:dyDescent="0.2">
      <c r="A64" s="189"/>
      <c r="B64" s="190"/>
      <c r="C64" s="203"/>
      <c r="D64" s="316"/>
      <c r="E64" s="189"/>
      <c r="F64" s="354"/>
    </row>
    <row r="65" spans="1:15" s="3" customFormat="1" x14ac:dyDescent="0.2">
      <c r="A65" s="1"/>
      <c r="B65" s="1"/>
      <c r="C65" s="1"/>
      <c r="D65" s="1"/>
      <c r="E65" s="1"/>
      <c r="F65" s="369"/>
    </row>
    <row r="66" spans="1:15" s="3" customFormat="1" hidden="1" x14ac:dyDescent="0.2">
      <c r="A66" s="4" t="s">
        <v>62</v>
      </c>
      <c r="B66" s="5"/>
      <c r="C66" s="5"/>
      <c r="D66" s="6"/>
      <c r="F66" s="370"/>
    </row>
    <row r="67" spans="1:15" s="3" customFormat="1" hidden="1" x14ac:dyDescent="0.2">
      <c r="A67" s="9"/>
      <c r="B67" s="10">
        <f>IF(A48,1,IF(A49,2,IF(A50,3,IF(A51,4,IF(A52,5,IF(A53,6,IF(A54,7,"Error")))))))</f>
        <v>1</v>
      </c>
      <c r="C67" s="10" t="s">
        <v>53</v>
      </c>
      <c r="D67" s="11"/>
      <c r="F67" s="370"/>
    </row>
    <row r="68" spans="1:15" s="3" customFormat="1" hidden="1" x14ac:dyDescent="0.2">
      <c r="A68" s="9"/>
      <c r="B68" s="10">
        <f>IF(A55,8,IF(A54,7,IF(A53,6,IF(A52,5,IF(A51,4,IF(A50,3,IF(A49,2,"error")))))))</f>
        <v>8</v>
      </c>
      <c r="C68" s="10" t="s">
        <v>54</v>
      </c>
      <c r="D68" s="11"/>
      <c r="F68" s="370"/>
    </row>
    <row r="69" spans="1:15" s="3" customFormat="1" hidden="1" x14ac:dyDescent="0.2">
      <c r="A69" s="12"/>
      <c r="B69" s="10"/>
      <c r="C69" s="10"/>
      <c r="D69" s="13"/>
      <c r="E69" s="14"/>
      <c r="F69" s="14"/>
    </row>
    <row r="70" spans="1:15" s="3" customFormat="1" hidden="1" x14ac:dyDescent="0.2">
      <c r="A70" s="9"/>
      <c r="B70" s="10">
        <f>INDEX(C35:C42,IF(A48,1,IF(A49,2,IF(A50,3,IF(A51,4,IF(A52,5,IF(A53,6,IF(A54,7,"Error"))))))))</f>
        <v>-21</v>
      </c>
      <c r="C70" s="10" t="s">
        <v>55</v>
      </c>
      <c r="D70" s="15"/>
      <c r="E70" s="16"/>
      <c r="F70" s="371"/>
    </row>
    <row r="71" spans="1:15" s="3" customFormat="1" ht="13.5" hidden="1" thickBot="1" x14ac:dyDescent="0.25">
      <c r="A71" s="17"/>
      <c r="B71" s="18">
        <f>INDEX(C35:C42,IF(A55,8,IF(A54,7,IF(A53,6,IF(A52,5,IF(A51,4,IF(A50,3,IF(A49,2,"error"))))))))</f>
        <v>24.5</v>
      </c>
      <c r="C71" s="18" t="s">
        <v>56</v>
      </c>
      <c r="D71" s="19"/>
      <c r="E71" s="16"/>
      <c r="F71" s="371"/>
    </row>
    <row r="72" spans="1:15" x14ac:dyDescent="0.2">
      <c r="A72" s="24"/>
      <c r="B72" s="24"/>
      <c r="C72" s="24"/>
      <c r="D72" s="24"/>
      <c r="E72" s="24"/>
      <c r="F72" s="372"/>
    </row>
    <row r="73" spans="1:15" s="24" customFormat="1" x14ac:dyDescent="0.2">
      <c r="A73" s="29" t="s">
        <v>82</v>
      </c>
      <c r="F73" s="366"/>
    </row>
    <row r="74" spans="1:15" s="69" customFormat="1" ht="30.75" customHeight="1" x14ac:dyDescent="0.2">
      <c r="A74" s="485" t="s">
        <v>83</v>
      </c>
      <c r="B74" s="482"/>
      <c r="C74" s="482"/>
      <c r="D74" s="482"/>
      <c r="E74" s="67"/>
      <c r="F74" s="367"/>
    </row>
    <row r="75" spans="1:15" s="229" customFormat="1" ht="73.5" customHeight="1" x14ac:dyDescent="0.2">
      <c r="A75" s="481" t="s">
        <v>179</v>
      </c>
      <c r="B75" s="482"/>
      <c r="C75" s="482"/>
      <c r="D75" s="482"/>
      <c r="F75" s="368"/>
    </row>
    <row r="76" spans="1:15" s="229" customFormat="1" ht="78" customHeight="1" x14ac:dyDescent="0.2">
      <c r="A76" s="481" t="s">
        <v>180</v>
      </c>
      <c r="B76" s="482"/>
      <c r="C76" s="482"/>
      <c r="D76" s="482"/>
      <c r="F76" s="368"/>
      <c r="H76" s="70"/>
      <c r="I76" s="70"/>
      <c r="J76" s="70"/>
      <c r="K76" s="70"/>
      <c r="L76" s="70"/>
      <c r="M76" s="70"/>
      <c r="N76" s="70"/>
      <c r="O76" s="70"/>
    </row>
    <row r="77" spans="1:15" s="229" customFormat="1" ht="78.75" customHeight="1" x14ac:dyDescent="0.2">
      <c r="A77" s="481" t="s">
        <v>181</v>
      </c>
      <c r="B77" s="482"/>
      <c r="C77" s="482"/>
      <c r="D77" s="482"/>
      <c r="F77" s="368"/>
      <c r="H77" s="70"/>
      <c r="I77" s="70"/>
      <c r="J77" s="70"/>
      <c r="K77" s="70"/>
      <c r="L77" s="70"/>
      <c r="M77" s="70"/>
      <c r="N77" s="70"/>
      <c r="O77" s="70"/>
    </row>
    <row r="78" spans="1:15" s="229" customFormat="1" ht="126" customHeight="1" x14ac:dyDescent="0.2">
      <c r="A78" s="481" t="s">
        <v>182</v>
      </c>
      <c r="B78" s="482"/>
      <c r="C78" s="482"/>
      <c r="D78" s="482"/>
      <c r="F78" s="368"/>
      <c r="H78" s="70"/>
      <c r="I78" s="70"/>
      <c r="J78" s="70"/>
      <c r="K78" s="70"/>
      <c r="L78" s="70"/>
      <c r="M78" s="70"/>
      <c r="N78" s="70"/>
      <c r="O78" s="70"/>
    </row>
    <row r="79" spans="1:15" s="229" customFormat="1" ht="60.75" customHeight="1" x14ac:dyDescent="0.2">
      <c r="A79" s="481" t="s">
        <v>183</v>
      </c>
      <c r="B79" s="482"/>
      <c r="C79" s="482"/>
      <c r="D79" s="482"/>
      <c r="E79" s="70"/>
      <c r="F79" s="368"/>
      <c r="H79" s="70"/>
      <c r="I79" s="70"/>
      <c r="J79" s="70"/>
      <c r="K79" s="70"/>
      <c r="L79" s="70"/>
      <c r="M79" s="70"/>
      <c r="N79" s="70"/>
      <c r="O79" s="70"/>
    </row>
    <row r="80" spans="1:15" ht="34.5" customHeight="1" x14ac:dyDescent="0.2">
      <c r="A80" s="483" t="s">
        <v>86</v>
      </c>
      <c r="B80" s="484"/>
      <c r="C80" s="484"/>
      <c r="D80" s="484"/>
      <c r="E80" s="25"/>
      <c r="F80" s="350"/>
      <c r="G80" s="25"/>
      <c r="H80" s="25"/>
      <c r="I80" s="25"/>
      <c r="J80" s="25"/>
      <c r="K80" s="25"/>
      <c r="L80" s="25"/>
      <c r="M80" s="25"/>
      <c r="N80" s="25"/>
      <c r="O80" s="25"/>
    </row>
    <row r="81" spans="1:15" x14ac:dyDescent="0.2">
      <c r="A81" s="25"/>
      <c r="B81" s="25"/>
      <c r="C81" s="71"/>
      <c r="D81" s="42"/>
      <c r="E81" s="25"/>
      <c r="F81" s="350"/>
      <c r="G81" s="25"/>
      <c r="H81" s="25"/>
      <c r="I81" s="25"/>
      <c r="J81" s="25"/>
      <c r="K81" s="25"/>
      <c r="L81" s="25"/>
      <c r="M81" s="25"/>
      <c r="N81" s="25"/>
      <c r="O81" s="25"/>
    </row>
    <row r="82" spans="1:15" x14ac:dyDescent="0.2">
      <c r="A82" s="25" t="s">
        <v>91</v>
      </c>
      <c r="B82" s="25"/>
      <c r="C82" s="71"/>
      <c r="D82" s="42"/>
      <c r="E82" s="25"/>
      <c r="F82" s="350"/>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honeticPr fontId="0" type="noConversion"/>
  <pageMargins left="0.75" right="0.75" top="1" bottom="1" header="0.5" footer="0.5"/>
  <pageSetup scale="76"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R82"/>
  <sheetViews>
    <sheetView zoomScaleNormal="100" zoomScaleSheetLayoutView="115" workbookViewId="0">
      <selection activeCell="O5" sqref="O5:O6"/>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21" customWidth="1"/>
    <col min="7" max="16384" width="9.140625" style="21"/>
  </cols>
  <sheetData>
    <row r="1" spans="1:18" customFormat="1" ht="20.25" customHeight="1" x14ac:dyDescent="0.2">
      <c r="A1" s="21"/>
      <c r="B1" s="21"/>
      <c r="C1" s="85"/>
      <c r="D1" s="171" t="s">
        <v>155</v>
      </c>
      <c r="E1" s="172" t="str">
        <f>Ballast!$H$1</f>
        <v>4095-GBPSH</v>
      </c>
      <c r="H1" s="399" t="s">
        <v>250</v>
      </c>
      <c r="I1" s="385"/>
      <c r="J1" s="385"/>
      <c r="K1" s="394"/>
      <c r="L1" s="394"/>
      <c r="M1" s="394"/>
      <c r="N1" s="395"/>
    </row>
    <row r="2" spans="1:18" customFormat="1" ht="20.25" customHeight="1" x14ac:dyDescent="0.2">
      <c r="A2" s="21"/>
      <c r="B2" s="21"/>
      <c r="C2" s="85"/>
      <c r="D2" s="173" t="s">
        <v>156</v>
      </c>
      <c r="E2" s="174" t="str">
        <f>Ballast!$H$2</f>
        <v>F</v>
      </c>
      <c r="H2" s="396"/>
      <c r="I2" s="392"/>
      <c r="J2" s="353"/>
      <c r="K2" s="353"/>
      <c r="L2" s="393" t="s">
        <v>255</v>
      </c>
      <c r="M2" s="388"/>
      <c r="N2" s="352" t="s">
        <v>10</v>
      </c>
      <c r="O2" s="400" t="s">
        <v>256</v>
      </c>
    </row>
    <row r="3" spans="1:18" customFormat="1" ht="20.25" customHeight="1" x14ac:dyDescent="0.2">
      <c r="A3" s="21"/>
      <c r="B3" s="21"/>
      <c r="C3" s="85"/>
      <c r="D3" s="173" t="s">
        <v>1</v>
      </c>
      <c r="E3" s="175">
        <f>Ballast!$H$3</f>
        <v>41813</v>
      </c>
      <c r="H3" s="391"/>
      <c r="I3" s="350"/>
      <c r="J3" s="25"/>
      <c r="K3" s="25"/>
      <c r="L3" s="351" t="s">
        <v>252</v>
      </c>
      <c r="M3" s="388"/>
      <c r="N3" s="352" t="s">
        <v>10</v>
      </c>
      <c r="O3" s="400" t="s">
        <v>257</v>
      </c>
    </row>
    <row r="4" spans="1:18" customFormat="1" ht="20.25" customHeight="1" thickBot="1" x14ac:dyDescent="0.25">
      <c r="A4" s="21"/>
      <c r="B4" s="21"/>
      <c r="C4" s="85"/>
      <c r="D4" s="176" t="s">
        <v>157</v>
      </c>
      <c r="E4" s="177">
        <f>Ballast!$H$4</f>
        <v>12698</v>
      </c>
      <c r="H4" s="391"/>
      <c r="I4" s="350"/>
      <c r="J4" s="25"/>
      <c r="K4" s="25"/>
      <c r="L4" s="354"/>
      <c r="M4" s="25"/>
      <c r="N4" s="36"/>
      <c r="O4" s="400"/>
    </row>
    <row r="5" spans="1:18" customFormat="1" ht="15" customHeight="1" thickBot="1" x14ac:dyDescent="0.25">
      <c r="A5" s="21"/>
      <c r="B5" s="21"/>
      <c r="C5" s="85"/>
      <c r="D5" s="85"/>
      <c r="E5" s="85"/>
      <c r="H5" s="391"/>
      <c r="I5" s="350"/>
      <c r="J5" s="25"/>
      <c r="K5" s="25"/>
      <c r="L5" s="351" t="s">
        <v>251</v>
      </c>
      <c r="M5" s="402"/>
      <c r="N5" s="352" t="s">
        <v>243</v>
      </c>
      <c r="O5" s="400" t="s">
        <v>317</v>
      </c>
    </row>
    <row r="6" spans="1:18" customFormat="1" ht="15" customHeight="1" thickTop="1" thickBot="1" x14ac:dyDescent="0.25">
      <c r="A6" s="209"/>
      <c r="B6" s="209"/>
      <c r="C6" s="181"/>
      <c r="D6" s="181"/>
      <c r="E6" s="181"/>
      <c r="H6" s="37"/>
      <c r="I6" s="350"/>
      <c r="J6" s="25"/>
      <c r="K6" s="25"/>
      <c r="L6" s="351" t="s">
        <v>237</v>
      </c>
      <c r="M6" s="402"/>
      <c r="N6" s="352" t="s">
        <v>224</v>
      </c>
      <c r="O6" s="400" t="s">
        <v>318</v>
      </c>
    </row>
    <row r="7" spans="1:18" x14ac:dyDescent="0.2">
      <c r="A7" s="168" t="s">
        <v>29</v>
      </c>
      <c r="B7" s="239" t="str">
        <f>IF(ISBLANK(Ballast!C13),"",Ballast!C13)</f>
        <v>631</v>
      </c>
      <c r="C7" s="85"/>
      <c r="D7" s="85"/>
      <c r="E7" s="85"/>
      <c r="F7" s="29"/>
      <c r="H7" s="37"/>
      <c r="I7" s="350"/>
      <c r="J7" s="25"/>
      <c r="K7" s="25"/>
      <c r="L7" s="351" t="s">
        <v>239</v>
      </c>
      <c r="M7" s="402"/>
      <c r="N7" s="352" t="s">
        <v>253</v>
      </c>
      <c r="O7" s="401" t="s">
        <v>259</v>
      </c>
    </row>
    <row r="8" spans="1:18" ht="13.5" thickBot="1" x14ac:dyDescent="0.25">
      <c r="A8" s="169" t="s">
        <v>1</v>
      </c>
      <c r="B8" s="240">
        <f>IF(ISBLANK(Ballast!C15),"",Ballast!C15)</f>
        <v>44397</v>
      </c>
      <c r="C8" s="85"/>
      <c r="D8" s="85"/>
      <c r="E8" s="85"/>
      <c r="F8" s="29"/>
      <c r="H8" s="37"/>
      <c r="I8" s="350"/>
      <c r="J8" s="25"/>
      <c r="K8" s="25"/>
      <c r="L8" s="351" t="s">
        <v>238</v>
      </c>
      <c r="M8" s="402"/>
      <c r="N8" s="352" t="s">
        <v>253</v>
      </c>
      <c r="O8" s="401" t="s">
        <v>259</v>
      </c>
    </row>
    <row r="9" spans="1:18" x14ac:dyDescent="0.2">
      <c r="A9" s="30"/>
      <c r="C9" s="85"/>
      <c r="D9" s="85"/>
      <c r="E9" s="85"/>
      <c r="F9" s="29"/>
      <c r="H9" s="37"/>
      <c r="I9" s="25"/>
      <c r="J9" s="25"/>
      <c r="K9" s="25"/>
      <c r="L9" s="351" t="s">
        <v>240</v>
      </c>
      <c r="M9" s="46" t="e">
        <f>AVERAGE(M7:M8)</f>
        <v>#DIV/0!</v>
      </c>
      <c r="N9" s="352" t="s">
        <v>253</v>
      </c>
      <c r="O9" s="401" t="s">
        <v>260</v>
      </c>
    </row>
    <row r="10" spans="1:18" x14ac:dyDescent="0.2">
      <c r="A10" s="30"/>
      <c r="C10" s="85"/>
      <c r="D10" s="85"/>
      <c r="E10" s="85"/>
      <c r="F10" s="29"/>
      <c r="H10" s="37"/>
      <c r="I10" s="25"/>
      <c r="J10" s="25"/>
      <c r="K10" s="25"/>
      <c r="L10" s="351" t="s">
        <v>313</v>
      </c>
      <c r="M10" s="440" t="e">
        <f>-'Ballast Drive'!B12</f>
        <v>#DIV/0!</v>
      </c>
      <c r="N10" s="36" t="s">
        <v>253</v>
      </c>
      <c r="O10" s="401" t="s">
        <v>314</v>
      </c>
    </row>
    <row r="11" spans="1:18" ht="13.5" thickBot="1" x14ac:dyDescent="0.25">
      <c r="A11" s="30"/>
      <c r="C11" s="85"/>
      <c r="D11" s="85"/>
      <c r="E11" s="85"/>
      <c r="F11" s="29"/>
      <c r="H11" s="47"/>
      <c r="I11" s="357"/>
      <c r="J11" s="357"/>
      <c r="K11" s="357"/>
      <c r="L11" s="441" t="s">
        <v>254</v>
      </c>
      <c r="M11" s="442" t="e">
        <f>IF(ISNUMBER(M9)=TRUE,-M9,M10)</f>
        <v>#DIV/0!</v>
      </c>
      <c r="N11" s="55" t="s">
        <v>253</v>
      </c>
      <c r="O11" s="401" t="s">
        <v>258</v>
      </c>
    </row>
    <row r="12" spans="1:18" x14ac:dyDescent="0.2">
      <c r="A12" s="30"/>
      <c r="C12" s="85"/>
      <c r="D12" s="85"/>
      <c r="E12" s="85"/>
      <c r="F12" s="29"/>
    </row>
    <row r="13" spans="1:18" x14ac:dyDescent="0.2">
      <c r="A13" s="30"/>
      <c r="C13" s="85"/>
      <c r="D13" s="85"/>
      <c r="E13" s="85"/>
      <c r="F13" s="29"/>
    </row>
    <row r="14" spans="1:18" x14ac:dyDescent="0.2">
      <c r="A14" s="30"/>
      <c r="C14" s="85"/>
      <c r="D14" s="85"/>
      <c r="E14" s="85"/>
      <c r="F14" s="29"/>
    </row>
    <row r="15" spans="1:18" x14ac:dyDescent="0.2">
      <c r="A15" s="480" t="s">
        <v>173</v>
      </c>
      <c r="B15" s="480"/>
      <c r="C15" s="480"/>
      <c r="D15" s="480"/>
      <c r="E15" s="85"/>
      <c r="F15" s="29"/>
    </row>
    <row r="16" spans="1:18" ht="13.5" thickBot="1" x14ac:dyDescent="0.25">
      <c r="A16" s="30"/>
      <c r="C16" s="85"/>
      <c r="D16" s="85"/>
      <c r="E16" s="85"/>
      <c r="F16" s="65"/>
      <c r="G16" s="24"/>
      <c r="H16" s="24"/>
      <c r="I16" s="24"/>
      <c r="J16" s="24"/>
      <c r="K16" s="24"/>
      <c r="L16" s="24"/>
      <c r="M16" s="24"/>
      <c r="N16" s="24"/>
      <c r="O16" s="24"/>
      <c r="P16" s="24"/>
      <c r="Q16" s="24"/>
      <c r="R16" s="24"/>
    </row>
    <row r="17" spans="1:18" ht="13.5" thickBot="1" x14ac:dyDescent="0.25">
      <c r="A17" s="31" t="s">
        <v>60</v>
      </c>
      <c r="B17" s="32"/>
      <c r="C17" s="182"/>
      <c r="D17" s="183"/>
      <c r="E17" s="85"/>
      <c r="F17" s="24"/>
      <c r="G17" s="407"/>
      <c r="H17" s="24"/>
      <c r="I17" s="24"/>
      <c r="J17" s="24"/>
      <c r="K17" s="24"/>
      <c r="L17" s="24"/>
      <c r="M17" s="24"/>
      <c r="N17" s="24"/>
      <c r="O17" s="24"/>
      <c r="P17" s="24"/>
      <c r="Q17" s="24"/>
      <c r="R17" s="24"/>
    </row>
    <row r="18" spans="1:18" x14ac:dyDescent="0.2">
      <c r="A18" s="34"/>
      <c r="B18" s="35" t="s">
        <v>39</v>
      </c>
      <c r="C18" s="72">
        <v>0</v>
      </c>
      <c r="D18" s="36" t="s">
        <v>10</v>
      </c>
      <c r="E18" s="383" t="s">
        <v>248</v>
      </c>
      <c r="F18" s="384"/>
      <c r="G18" s="385"/>
      <c r="H18" s="386"/>
      <c r="I18" s="385"/>
      <c r="J18" s="387"/>
      <c r="L18" s="355"/>
      <c r="M18" s="408"/>
      <c r="N18" s="372"/>
      <c r="O18" s="24"/>
      <c r="P18" s="24"/>
      <c r="Q18" s="24"/>
      <c r="R18" s="24"/>
    </row>
    <row r="19" spans="1:18" x14ac:dyDescent="0.2">
      <c r="A19" s="37"/>
      <c r="B19" s="38" t="s">
        <v>40</v>
      </c>
      <c r="C19" s="72">
        <v>0</v>
      </c>
      <c r="D19" s="36" t="s">
        <v>10</v>
      </c>
      <c r="E19" s="379" t="str">
        <f>IF(C19&gt;5000,"Error: scale reading too high",IF(C19&lt;0,"Error: scale reading should be positive",""))</f>
        <v/>
      </c>
      <c r="F19" s="350"/>
      <c r="G19" s="25"/>
      <c r="H19" s="380" t="s">
        <v>246</v>
      </c>
      <c r="I19" s="46">
        <f>Worksheet!G7</f>
        <v>74109</v>
      </c>
      <c r="J19" s="352" t="s">
        <v>10</v>
      </c>
      <c r="L19" s="355"/>
      <c r="M19" s="408"/>
      <c r="N19" s="372"/>
      <c r="O19" s="24"/>
      <c r="P19" s="24"/>
      <c r="Q19" s="24"/>
      <c r="R19" s="24"/>
    </row>
    <row r="20" spans="1:18" x14ac:dyDescent="0.2">
      <c r="A20" s="37"/>
      <c r="B20" s="38" t="s">
        <v>41</v>
      </c>
      <c r="C20" s="187">
        <f>Ballast!G39</f>
        <v>521.42598206305024</v>
      </c>
      <c r="D20" s="36" t="s">
        <v>10</v>
      </c>
      <c r="E20" s="186"/>
      <c r="F20" s="350"/>
      <c r="G20" s="25"/>
      <c r="H20" s="380" t="s">
        <v>247</v>
      </c>
      <c r="I20" s="403">
        <f>C18+C19</f>
        <v>0</v>
      </c>
      <c r="J20" s="352" t="s">
        <v>10</v>
      </c>
      <c r="L20" s="355"/>
      <c r="M20" s="408"/>
      <c r="N20" s="372"/>
      <c r="O20" s="24"/>
      <c r="P20" s="24"/>
      <c r="Q20" s="24"/>
      <c r="R20" s="24"/>
    </row>
    <row r="21" spans="1:18" x14ac:dyDescent="0.2">
      <c r="A21" s="39"/>
      <c r="B21" s="40" t="s">
        <v>284</v>
      </c>
      <c r="C21" s="188">
        <f>C20-(C18+C19)</f>
        <v>521.42598206305024</v>
      </c>
      <c r="D21" s="41" t="s">
        <v>10</v>
      </c>
      <c r="E21" s="186"/>
      <c r="F21" s="350"/>
      <c r="G21" s="25"/>
      <c r="H21" s="380" t="s">
        <v>245</v>
      </c>
      <c r="I21" s="46">
        <f>(Worksheet!G7-I20)/(Ballast!C38/1000)</f>
        <v>72767.887827342085</v>
      </c>
      <c r="J21" s="352" t="s">
        <v>242</v>
      </c>
      <c r="L21" s="372"/>
      <c r="M21" s="372"/>
      <c r="N21" s="24"/>
      <c r="O21" s="24"/>
      <c r="P21" s="24"/>
      <c r="Q21" s="24"/>
      <c r="R21" s="24"/>
    </row>
    <row r="22" spans="1:18" ht="13.5" thickBot="1" x14ac:dyDescent="0.25">
      <c r="A22" s="193"/>
      <c r="B22" s="376" t="s">
        <v>241</v>
      </c>
      <c r="C22" s="377">
        <f>C21</f>
        <v>521.42598206305024</v>
      </c>
      <c r="D22" s="378" t="s">
        <v>10</v>
      </c>
      <c r="E22" s="193"/>
      <c r="F22" s="358"/>
      <c r="G22" s="357"/>
      <c r="H22" s="381" t="s">
        <v>244</v>
      </c>
      <c r="I22" s="390">
        <f>M25+((Ballast!E38/1000)*I21)-I19</f>
        <v>532.4220708329085</v>
      </c>
      <c r="J22" s="382" t="s">
        <v>10</v>
      </c>
      <c r="K22" s="389" t="s">
        <v>249</v>
      </c>
      <c r="L22" s="356"/>
      <c r="M22" s="408"/>
      <c r="N22" s="24"/>
      <c r="O22" s="24"/>
      <c r="P22" s="24"/>
      <c r="Q22" s="24"/>
      <c r="R22" s="24"/>
    </row>
    <row r="23" spans="1:18" x14ac:dyDescent="0.2">
      <c r="A23" s="186"/>
      <c r="B23" s="43" t="s">
        <v>38</v>
      </c>
      <c r="C23" s="44" t="s">
        <v>42</v>
      </c>
      <c r="D23" s="36"/>
      <c r="E23" s="85"/>
      <c r="F23" s="366"/>
      <c r="G23" s="372"/>
      <c r="H23" s="372"/>
      <c r="I23" s="372"/>
      <c r="J23" s="372"/>
      <c r="K23" s="372"/>
      <c r="L23" s="372"/>
      <c r="M23" s="408"/>
      <c r="N23" s="24"/>
      <c r="O23" s="24"/>
      <c r="P23" s="24"/>
      <c r="Q23" s="24"/>
      <c r="R23" s="24"/>
    </row>
    <row r="24" spans="1:18" x14ac:dyDescent="0.2">
      <c r="A24" s="186"/>
      <c r="B24" s="45" t="s">
        <v>66</v>
      </c>
      <c r="C24" s="45" t="s">
        <v>66</v>
      </c>
      <c r="D24" s="36"/>
      <c r="E24" s="85"/>
      <c r="F24" s="366"/>
      <c r="G24" s="372"/>
      <c r="H24" s="372"/>
      <c r="I24" s="372"/>
      <c r="J24" s="372"/>
      <c r="K24" s="372"/>
      <c r="L24" s="372"/>
      <c r="M24" s="408"/>
      <c r="N24" s="24"/>
      <c r="O24" s="24"/>
      <c r="P24" s="24"/>
      <c r="Q24" s="24"/>
      <c r="R24" s="24"/>
    </row>
    <row r="25" spans="1:18" x14ac:dyDescent="0.2">
      <c r="A25" s="46" t="s">
        <v>33</v>
      </c>
      <c r="B25" s="219">
        <v>1</v>
      </c>
      <c r="C25" s="191">
        <f>B25-$C$31</f>
        <v>-22</v>
      </c>
      <c r="D25" s="36"/>
      <c r="E25" s="85" t="str">
        <f>IF(B25&lt;-10,"Error: Check scale position",IF(B25&gt;30, "Error, check scale position",""))</f>
        <v/>
      </c>
      <c r="F25" s="413"/>
      <c r="G25" s="414"/>
      <c r="H25" s="415"/>
      <c r="I25" s="414"/>
      <c r="J25" s="415"/>
      <c r="K25" s="414"/>
      <c r="L25" s="417" t="s">
        <v>283</v>
      </c>
      <c r="M25" s="416">
        <f>I21*10^-3*53.5*10^-6*(Ballast!E32-Ballast!C32)*Ballast!E38</f>
        <v>-110.37850873579116</v>
      </c>
      <c r="N25" s="24" t="s">
        <v>10</v>
      </c>
      <c r="O25" s="24"/>
      <c r="P25" s="24"/>
      <c r="Q25" s="24"/>
      <c r="R25" s="24"/>
    </row>
    <row r="26" spans="1:18" x14ac:dyDescent="0.2">
      <c r="A26" s="46" t="s">
        <v>34</v>
      </c>
      <c r="B26" s="219">
        <v>47</v>
      </c>
      <c r="C26" s="191">
        <f>B26-$C$31</f>
        <v>24</v>
      </c>
      <c r="D26" s="36"/>
      <c r="E26" s="85" t="str">
        <f>IF(B26&lt;20,"Error: Check scale position",IF(B26&gt;70, "Error, check scale position",""))</f>
        <v/>
      </c>
      <c r="F26" s="366"/>
      <c r="G26" s="24"/>
      <c r="H26" s="24"/>
      <c r="I26" s="24"/>
      <c r="J26" s="24"/>
      <c r="K26" s="24"/>
      <c r="L26" s="24"/>
      <c r="M26" s="24"/>
      <c r="N26" s="24"/>
      <c r="O26" s="24"/>
      <c r="P26" s="24"/>
      <c r="Q26" s="24"/>
      <c r="R26" s="24"/>
    </row>
    <row r="27" spans="1:18" x14ac:dyDescent="0.2">
      <c r="A27" s="37"/>
      <c r="B27" s="24"/>
      <c r="C27" s="189"/>
      <c r="D27" s="36"/>
      <c r="E27" s="85"/>
      <c r="F27" s="29"/>
    </row>
    <row r="28" spans="1:18" ht="13.5" thickBot="1" x14ac:dyDescent="0.25">
      <c r="A28" s="47"/>
      <c r="B28" s="48" t="s">
        <v>74</v>
      </c>
      <c r="C28" s="180">
        <f>(C18*C25)+(C19*C26)</f>
        <v>0</v>
      </c>
      <c r="D28" s="49" t="s">
        <v>30</v>
      </c>
      <c r="E28" s="85"/>
      <c r="F28" s="29"/>
    </row>
    <row r="29" spans="1:18" ht="13.5" thickBot="1" x14ac:dyDescent="0.25">
      <c r="A29" s="189"/>
      <c r="B29" s="194"/>
      <c r="C29" s="189"/>
      <c r="D29" s="189"/>
      <c r="E29" s="189"/>
      <c r="F29" s="50" t="s">
        <v>81</v>
      </c>
    </row>
    <row r="30" spans="1:18" x14ac:dyDescent="0.2">
      <c r="A30" s="51" t="s">
        <v>36</v>
      </c>
      <c r="B30" s="182"/>
      <c r="C30" s="182"/>
      <c r="D30" s="183"/>
      <c r="E30" s="189"/>
      <c r="F30" s="349" t="s">
        <v>61</v>
      </c>
    </row>
    <row r="31" spans="1:18" x14ac:dyDescent="0.2">
      <c r="A31" s="37"/>
      <c r="B31" s="52" t="s">
        <v>35</v>
      </c>
      <c r="C31" s="74">
        <v>23</v>
      </c>
      <c r="D31" s="195"/>
      <c r="E31" s="189"/>
      <c r="F31" s="349" t="s">
        <v>37</v>
      </c>
    </row>
    <row r="32" spans="1:18" ht="13.5" thickBot="1" x14ac:dyDescent="0.25">
      <c r="A32" s="37"/>
      <c r="B32" s="189"/>
      <c r="C32" s="189"/>
      <c r="D32" s="185"/>
      <c r="E32" s="189"/>
      <c r="F32" s="349" t="s">
        <v>68</v>
      </c>
    </row>
    <row r="33" spans="1:6" x14ac:dyDescent="0.2">
      <c r="A33" s="53" t="s">
        <v>44</v>
      </c>
      <c r="B33" s="53" t="s">
        <v>65</v>
      </c>
      <c r="C33" s="53" t="s">
        <v>67</v>
      </c>
      <c r="D33" s="185"/>
      <c r="E33" s="189"/>
      <c r="F33" s="349" t="s">
        <v>87</v>
      </c>
    </row>
    <row r="34" spans="1:6" ht="13.5" thickBot="1" x14ac:dyDescent="0.25">
      <c r="A34" s="54"/>
      <c r="B34" s="54" t="s">
        <v>66</v>
      </c>
      <c r="C34" s="54" t="s">
        <v>66</v>
      </c>
      <c r="D34" s="185"/>
      <c r="E34" s="189"/>
      <c r="F34" s="349" t="s">
        <v>88</v>
      </c>
    </row>
    <row r="35" spans="1:6" x14ac:dyDescent="0.2">
      <c r="A35" s="206" t="s">
        <v>78</v>
      </c>
      <c r="B35" s="75">
        <v>2</v>
      </c>
      <c r="C35" s="196">
        <f t="shared" ref="C35:C42" si="0">B35-C$31</f>
        <v>-21</v>
      </c>
      <c r="D35" s="185"/>
      <c r="E35" s="189"/>
      <c r="F35" s="29"/>
    </row>
    <row r="36" spans="1:6" x14ac:dyDescent="0.2">
      <c r="A36" s="217" t="s">
        <v>107</v>
      </c>
      <c r="B36" s="76">
        <v>2.125</v>
      </c>
      <c r="C36" s="191">
        <f t="shared" si="0"/>
        <v>-20.875</v>
      </c>
      <c r="D36" s="185"/>
      <c r="E36" s="189"/>
    </row>
    <row r="37" spans="1:6" x14ac:dyDescent="0.2">
      <c r="A37" s="217" t="s">
        <v>105</v>
      </c>
      <c r="B37" s="76">
        <v>19.5</v>
      </c>
      <c r="C37" s="191">
        <f t="shared" si="0"/>
        <v>-3.5</v>
      </c>
      <c r="D37" s="185"/>
      <c r="E37" s="189"/>
      <c r="F37" s="29"/>
    </row>
    <row r="38" spans="1:6" x14ac:dyDescent="0.2">
      <c r="A38" s="217" t="s">
        <v>162</v>
      </c>
      <c r="B38" s="77">
        <v>9999</v>
      </c>
      <c r="C38" s="191">
        <f t="shared" si="0"/>
        <v>9976</v>
      </c>
      <c r="D38" s="185"/>
      <c r="E38" s="189"/>
      <c r="F38" s="29"/>
    </row>
    <row r="39" spans="1:6" x14ac:dyDescent="0.2">
      <c r="A39" s="217" t="s">
        <v>43</v>
      </c>
      <c r="B39" s="76">
        <v>23.75</v>
      </c>
      <c r="C39" s="191">
        <f t="shared" si="0"/>
        <v>0.75</v>
      </c>
      <c r="D39" s="185"/>
      <c r="E39" s="189"/>
      <c r="F39" s="29"/>
    </row>
    <row r="40" spans="1:6" x14ac:dyDescent="0.2">
      <c r="A40" s="217" t="s">
        <v>163</v>
      </c>
      <c r="B40" s="77">
        <v>9999</v>
      </c>
      <c r="C40" s="191">
        <f t="shared" si="0"/>
        <v>9976</v>
      </c>
      <c r="D40" s="185"/>
      <c r="E40" s="189"/>
      <c r="F40" s="29"/>
    </row>
    <row r="41" spans="1:6" x14ac:dyDescent="0.2">
      <c r="A41" s="217" t="s">
        <v>106</v>
      </c>
      <c r="B41" s="76">
        <v>30</v>
      </c>
      <c r="C41" s="191">
        <f t="shared" si="0"/>
        <v>7</v>
      </c>
      <c r="D41" s="185"/>
      <c r="E41" s="189"/>
      <c r="F41" s="29"/>
    </row>
    <row r="42" spans="1:6" ht="13.5" thickBot="1" x14ac:dyDescent="0.25">
      <c r="A42" s="208" t="s">
        <v>31</v>
      </c>
      <c r="B42" s="78">
        <v>49.5</v>
      </c>
      <c r="C42" s="197">
        <f t="shared" si="0"/>
        <v>26.5</v>
      </c>
      <c r="D42" s="198"/>
      <c r="E42" s="189"/>
      <c r="F42" s="29"/>
    </row>
    <row r="43" spans="1:6" ht="13.5" thickBot="1" x14ac:dyDescent="0.25">
      <c r="B43" s="85"/>
      <c r="C43" s="85"/>
      <c r="D43" s="85"/>
      <c r="E43" s="85"/>
      <c r="F43" s="29"/>
    </row>
    <row r="44" spans="1:6" x14ac:dyDescent="0.2">
      <c r="A44" s="51" t="s">
        <v>57</v>
      </c>
      <c r="B44" s="182"/>
      <c r="C44" s="182"/>
      <c r="D44" s="183"/>
      <c r="E44" s="85"/>
      <c r="F44" s="29"/>
    </row>
    <row r="45" spans="1:6" ht="13.5" thickBot="1" x14ac:dyDescent="0.25">
      <c r="A45" s="37"/>
      <c r="B45" s="189"/>
      <c r="C45" s="189"/>
      <c r="D45" s="185"/>
      <c r="E45" s="85"/>
      <c r="F45" s="29"/>
    </row>
    <row r="46" spans="1:6" ht="25.5" x14ac:dyDescent="0.2">
      <c r="A46" s="53" t="s">
        <v>75</v>
      </c>
      <c r="B46" s="53" t="s">
        <v>58</v>
      </c>
      <c r="C46" s="32" t="s">
        <v>51</v>
      </c>
      <c r="D46" s="167" t="s">
        <v>52</v>
      </c>
      <c r="E46" s="204" t="s">
        <v>89</v>
      </c>
      <c r="F46" s="29"/>
    </row>
    <row r="47" spans="1:6" ht="13.5" thickBot="1" x14ac:dyDescent="0.25">
      <c r="A47" s="56" t="s">
        <v>76</v>
      </c>
      <c r="B47" s="54"/>
      <c r="C47" s="57" t="s">
        <v>63</v>
      </c>
      <c r="D47" s="56" t="s">
        <v>64</v>
      </c>
      <c r="E47" s="205" t="s">
        <v>90</v>
      </c>
      <c r="F47" s="29"/>
    </row>
    <row r="48" spans="1:6" x14ac:dyDescent="0.2">
      <c r="A48" s="79">
        <v>1</v>
      </c>
      <c r="B48" s="58" t="str">
        <f t="shared" ref="B48:B55" si="1">A35</f>
        <v>Forward</v>
      </c>
      <c r="C48" s="80">
        <v>0</v>
      </c>
      <c r="D48" s="199">
        <f t="shared" ref="D48:D55" si="2">C35*C48</f>
        <v>0</v>
      </c>
      <c r="E48" s="86"/>
      <c r="F48" s="89" t="str">
        <f t="shared" ref="F48:F56" si="3">IF(ABS(C48)&gt;5000,"Error: Weight adjustment too high","")</f>
        <v/>
      </c>
    </row>
    <row r="49" spans="1:6" x14ac:dyDescent="0.2">
      <c r="A49" s="80">
        <v>0</v>
      </c>
      <c r="B49" s="58" t="str">
        <f t="shared" si="1"/>
        <v>Nose Weights</v>
      </c>
      <c r="C49" s="80">
        <v>0</v>
      </c>
      <c r="D49" s="199">
        <f t="shared" si="2"/>
        <v>0</v>
      </c>
      <c r="E49" s="87"/>
      <c r="F49" s="89" t="str">
        <f t="shared" si="3"/>
        <v/>
      </c>
    </row>
    <row r="50" spans="1:6" x14ac:dyDescent="0.2">
      <c r="A50" s="80">
        <v>1</v>
      </c>
      <c r="B50" s="58" t="str">
        <f t="shared" si="1"/>
        <v>Sci fwd plates</v>
      </c>
      <c r="C50" s="80">
        <v>0</v>
      </c>
      <c r="D50" s="199">
        <f t="shared" si="2"/>
        <v>0</v>
      </c>
      <c r="E50" s="87"/>
      <c r="F50" s="89" t="str">
        <f t="shared" si="3"/>
        <v/>
      </c>
    </row>
    <row r="51" spans="1:6" x14ac:dyDescent="0.2">
      <c r="A51" s="80">
        <v>0</v>
      </c>
      <c r="B51" s="58" t="str">
        <f t="shared" si="1"/>
        <v>Sci fwd disc(unused)</v>
      </c>
      <c r="C51" s="80">
        <v>0</v>
      </c>
      <c r="D51" s="199">
        <f t="shared" si="2"/>
        <v>0</v>
      </c>
      <c r="E51" s="87"/>
      <c r="F51" s="89" t="str">
        <f t="shared" si="3"/>
        <v/>
      </c>
    </row>
    <row r="52" spans="1:6" x14ac:dyDescent="0.2">
      <c r="A52" s="80">
        <v>1</v>
      </c>
      <c r="B52" s="58" t="str">
        <f t="shared" si="1"/>
        <v>Center</v>
      </c>
      <c r="C52" s="80">
        <v>0</v>
      </c>
      <c r="D52" s="199">
        <f t="shared" si="2"/>
        <v>0</v>
      </c>
      <c r="E52" s="87"/>
      <c r="F52" s="89" t="str">
        <f t="shared" si="3"/>
        <v/>
      </c>
    </row>
    <row r="53" spans="1:6" x14ac:dyDescent="0.2">
      <c r="A53" s="80">
        <v>0</v>
      </c>
      <c r="B53" s="58" t="str">
        <f t="shared" si="1"/>
        <v>Sci aft disc(unused)</v>
      </c>
      <c r="C53" s="80">
        <v>0</v>
      </c>
      <c r="D53" s="199">
        <f t="shared" si="2"/>
        <v>0</v>
      </c>
      <c r="E53" s="87"/>
      <c r="F53" s="89" t="str">
        <f t="shared" si="3"/>
        <v/>
      </c>
    </row>
    <row r="54" spans="1:6" x14ac:dyDescent="0.2">
      <c r="A54" s="80">
        <v>1</v>
      </c>
      <c r="B54" s="58" t="str">
        <f t="shared" si="1"/>
        <v>Sci aft plates</v>
      </c>
      <c r="C54" s="80">
        <v>0</v>
      </c>
      <c r="D54" s="199">
        <f t="shared" si="2"/>
        <v>0</v>
      </c>
      <c r="E54" s="87"/>
      <c r="F54" s="89" t="str">
        <f t="shared" si="3"/>
        <v/>
      </c>
    </row>
    <row r="55" spans="1:6" ht="13.5" thickBot="1" x14ac:dyDescent="0.25">
      <c r="A55" s="81">
        <v>1</v>
      </c>
      <c r="B55" s="54" t="str">
        <f t="shared" si="1"/>
        <v>Aft</v>
      </c>
      <c r="C55" s="81">
        <v>0</v>
      </c>
      <c r="D55" s="200">
        <f t="shared" si="2"/>
        <v>0</v>
      </c>
      <c r="E55" s="88"/>
      <c r="F55" s="89" t="str">
        <f t="shared" si="3"/>
        <v/>
      </c>
    </row>
    <row r="56" spans="1:6" ht="13.5" thickBot="1" x14ac:dyDescent="0.25">
      <c r="A56" s="193"/>
      <c r="B56" s="201"/>
      <c r="C56" s="180">
        <f>SUM(C48:C55)</f>
        <v>0</v>
      </c>
      <c r="D56" s="202">
        <f>SUM(D48:D55)</f>
        <v>0</v>
      </c>
      <c r="E56" s="85"/>
      <c r="F56" s="89" t="str">
        <f t="shared" si="3"/>
        <v/>
      </c>
    </row>
    <row r="57" spans="1:6" ht="13.5" thickBot="1" x14ac:dyDescent="0.25">
      <c r="A57" s="85"/>
      <c r="B57" s="85"/>
      <c r="C57" s="85"/>
      <c r="D57" s="85"/>
      <c r="E57" s="85"/>
      <c r="F57" s="29"/>
    </row>
    <row r="58" spans="1:6" x14ac:dyDescent="0.2">
      <c r="A58" s="51" t="s">
        <v>59</v>
      </c>
      <c r="B58" s="32"/>
      <c r="C58" s="32"/>
      <c r="D58" s="33"/>
      <c r="E58" s="25"/>
      <c r="F58" s="59"/>
    </row>
    <row r="59" spans="1:6" x14ac:dyDescent="0.2">
      <c r="A59" s="37"/>
      <c r="B59" s="60">
        <f>ABS((C18+C19-C20)+C56)</f>
        <v>521.42598206305024</v>
      </c>
      <c r="C59" s="27" t="str">
        <f>IF(((C18+C19-C20)+C56)&gt;=0,"additional grams need to be removed", "additional grams need to be added")</f>
        <v>additional grams need to be added</v>
      </c>
      <c r="D59" s="36"/>
      <c r="E59" s="25"/>
      <c r="F59" s="50"/>
    </row>
    <row r="60" spans="1:6" x14ac:dyDescent="0.2">
      <c r="A60" s="37"/>
      <c r="B60" s="42">
        <f>ABS((C28+D56)/(B71-B70))</f>
        <v>0</v>
      </c>
      <c r="C60" s="42" t="str">
        <f>CONCATENATE("Grams need to move from ",IF((C28+D56)&lt;=0,INDEX(A35:A42,B67,1),INDEX(A35:A42,B68,1))," to ",IF((C28+D56)&lt;=0,INDEX(A35:A42,B68,1),INDEX(A35:A42,B67,1)))</f>
        <v>Grams need to move from Forward to Aft</v>
      </c>
      <c r="D60" s="36"/>
      <c r="E60" s="25"/>
      <c r="F60" s="50"/>
    </row>
    <row r="61" spans="1:6"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 this:</v>
      </c>
      <c r="D61" s="36"/>
      <c r="E61" s="25"/>
      <c r="F61" s="350" t="s">
        <v>84</v>
      </c>
    </row>
    <row r="62" spans="1:6" ht="13.5"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25"/>
      <c r="F62" s="350" t="s">
        <v>85</v>
      </c>
    </row>
    <row r="63" spans="1:6" s="3" customFormat="1" x14ac:dyDescent="0.2">
      <c r="A63" s="25"/>
      <c r="B63" s="42"/>
      <c r="C63" s="62"/>
      <c r="D63" s="25"/>
      <c r="E63" s="25"/>
      <c r="F63" s="25"/>
    </row>
    <row r="64" spans="1:6" s="3" customFormat="1" hidden="1" x14ac:dyDescent="0.2">
      <c r="A64" s="25"/>
      <c r="B64" s="42"/>
      <c r="C64" s="62"/>
      <c r="D64" s="311"/>
      <c r="E64" s="25"/>
      <c r="F64" s="25"/>
    </row>
    <row r="65" spans="1:15" s="3" customFormat="1" hidden="1" x14ac:dyDescent="0.2">
      <c r="A65" s="1"/>
      <c r="B65" s="1"/>
      <c r="C65" s="1"/>
      <c r="D65" s="1"/>
      <c r="E65" s="1"/>
      <c r="F65" s="1"/>
    </row>
    <row r="66" spans="1:15" s="3" customFormat="1" hidden="1" x14ac:dyDescent="0.2">
      <c r="A66" s="4" t="s">
        <v>62</v>
      </c>
      <c r="B66" s="5"/>
      <c r="C66" s="5"/>
      <c r="D66" s="6"/>
    </row>
    <row r="67" spans="1:15" s="3" customFormat="1" hidden="1" x14ac:dyDescent="0.2">
      <c r="A67" s="9"/>
      <c r="B67" s="10">
        <f>IF(A48,1,IF(A49,2,IF(A50,3,IF(A51,4,IF(A52,5,IF(A53,6,IF(A54,7,"Error")))))))</f>
        <v>1</v>
      </c>
      <c r="C67" s="10" t="s">
        <v>53</v>
      </c>
      <c r="D67" s="11"/>
    </row>
    <row r="68" spans="1:15" s="3" customFormat="1" hidden="1" x14ac:dyDescent="0.2">
      <c r="A68" s="9"/>
      <c r="B68" s="10">
        <f>IF(A55,8,IF(A54,7,IF(A53,6,IF(A52,5,IF(A51,4,IF(A50,3,IF(A49,2,"error")))))))</f>
        <v>8</v>
      </c>
      <c r="C68" s="10" t="s">
        <v>54</v>
      </c>
      <c r="D68" s="11"/>
    </row>
    <row r="69" spans="1:15" s="3" customFormat="1" hidden="1" x14ac:dyDescent="0.2">
      <c r="A69" s="12"/>
      <c r="B69" s="10"/>
      <c r="C69" s="10"/>
      <c r="D69" s="13"/>
      <c r="E69" s="14"/>
      <c r="F69" s="14"/>
    </row>
    <row r="70" spans="1:15" x14ac:dyDescent="0.2">
      <c r="A70" s="9"/>
      <c r="B70" s="10">
        <f>INDEX(C35:C42,IF(A48,1,IF(A49,2,IF(A50,3,IF(A51,4,IF(A52,5,IF(A53,6,IF(A54,7,"Error"))))))))</f>
        <v>-21</v>
      </c>
      <c r="C70" s="10" t="s">
        <v>55</v>
      </c>
      <c r="D70" s="15"/>
      <c r="E70" s="16"/>
      <c r="F70" s="16"/>
    </row>
    <row r="71" spans="1:15" s="24" customFormat="1" ht="13.5" thickBot="1" x14ac:dyDescent="0.25">
      <c r="A71" s="17"/>
      <c r="B71" s="18">
        <f>INDEX(C35:C42,IF(A55,8,IF(A54,7,IF(A53,6,IF(A52,5,IF(A51,4,IF(A50,3,IF(A49,2,"error"))))))))</f>
        <v>26.5</v>
      </c>
      <c r="C71" s="18" t="s">
        <v>56</v>
      </c>
      <c r="D71" s="19"/>
      <c r="E71" s="16"/>
      <c r="F71" s="16"/>
    </row>
    <row r="72" spans="1:15" s="69" customFormat="1" ht="30.75" customHeight="1" x14ac:dyDescent="0.2">
      <c r="A72" s="24"/>
      <c r="B72" s="24"/>
      <c r="C72" s="24"/>
      <c r="D72" s="24"/>
      <c r="E72" s="24"/>
      <c r="F72" s="24"/>
    </row>
    <row r="73" spans="1:15" s="229" customFormat="1" ht="73.5" customHeight="1" x14ac:dyDescent="0.2">
      <c r="A73" s="29" t="s">
        <v>82</v>
      </c>
      <c r="B73" s="24"/>
      <c r="C73" s="24"/>
      <c r="D73" s="24"/>
      <c r="E73" s="24"/>
      <c r="F73" s="65"/>
    </row>
    <row r="74" spans="1:15" s="229" customFormat="1" ht="78" customHeight="1" x14ac:dyDescent="0.2">
      <c r="A74" s="485" t="s">
        <v>83</v>
      </c>
      <c r="B74" s="482"/>
      <c r="C74" s="482"/>
      <c r="D74" s="482"/>
      <c r="E74" s="67"/>
      <c r="F74" s="68"/>
      <c r="H74" s="70"/>
      <c r="I74" s="70"/>
      <c r="J74" s="70"/>
      <c r="K74" s="70"/>
      <c r="L74" s="70"/>
      <c r="M74" s="70"/>
      <c r="N74" s="70"/>
      <c r="O74" s="70"/>
    </row>
    <row r="75" spans="1:15" s="229" customFormat="1" ht="78.75" customHeight="1" x14ac:dyDescent="0.2">
      <c r="A75" s="481" t="s">
        <v>179</v>
      </c>
      <c r="B75" s="482"/>
      <c r="C75" s="482"/>
      <c r="D75" s="482"/>
      <c r="F75" s="228"/>
      <c r="H75" s="70"/>
      <c r="I75" s="70"/>
      <c r="J75" s="70"/>
      <c r="K75" s="70"/>
      <c r="L75" s="70"/>
      <c r="M75" s="70"/>
      <c r="N75" s="70"/>
      <c r="O75" s="70"/>
    </row>
    <row r="76" spans="1:15" s="229" customFormat="1" ht="126" customHeight="1" x14ac:dyDescent="0.2">
      <c r="A76" s="481" t="s">
        <v>180</v>
      </c>
      <c r="B76" s="482"/>
      <c r="C76" s="482"/>
      <c r="D76" s="482"/>
      <c r="F76" s="228"/>
      <c r="H76" s="70"/>
      <c r="I76" s="70"/>
      <c r="J76" s="70"/>
      <c r="K76" s="70"/>
      <c r="L76" s="70"/>
      <c r="M76" s="70"/>
      <c r="N76" s="70"/>
      <c r="O76" s="70"/>
    </row>
    <row r="77" spans="1:15" s="229" customFormat="1" ht="60.75" customHeight="1" x14ac:dyDescent="0.2">
      <c r="A77" s="481" t="s">
        <v>181</v>
      </c>
      <c r="B77" s="482"/>
      <c r="C77" s="482"/>
      <c r="D77" s="482"/>
      <c r="F77" s="228"/>
      <c r="H77" s="70"/>
      <c r="I77" s="70"/>
      <c r="J77" s="70"/>
      <c r="K77" s="70"/>
      <c r="L77" s="70"/>
      <c r="M77" s="70"/>
      <c r="N77" s="70"/>
      <c r="O77" s="70"/>
    </row>
    <row r="78" spans="1:15" ht="34.5" customHeight="1" x14ac:dyDescent="0.2">
      <c r="A78" s="481" t="s">
        <v>182</v>
      </c>
      <c r="B78" s="482"/>
      <c r="C78" s="482"/>
      <c r="D78" s="482"/>
      <c r="E78" s="229"/>
      <c r="F78" s="228"/>
      <c r="G78" s="25"/>
      <c r="H78" s="25"/>
      <c r="I78" s="25"/>
      <c r="J78" s="25"/>
      <c r="K78" s="25"/>
      <c r="L78" s="25"/>
      <c r="M78" s="25"/>
      <c r="N78" s="25"/>
      <c r="O78" s="25"/>
    </row>
    <row r="79" spans="1:15" x14ac:dyDescent="0.2">
      <c r="A79" s="481" t="s">
        <v>183</v>
      </c>
      <c r="B79" s="482"/>
      <c r="C79" s="482"/>
      <c r="D79" s="482"/>
      <c r="E79" s="70"/>
      <c r="F79" s="228"/>
      <c r="G79" s="25"/>
      <c r="H79" s="25"/>
      <c r="I79" s="25"/>
      <c r="J79" s="25"/>
      <c r="K79" s="25"/>
      <c r="L79" s="25"/>
      <c r="M79" s="25"/>
      <c r="N79" s="25"/>
      <c r="O79" s="25"/>
    </row>
    <row r="80" spans="1:15" x14ac:dyDescent="0.2">
      <c r="A80" s="483" t="s">
        <v>86</v>
      </c>
      <c r="B80" s="484"/>
      <c r="C80" s="484"/>
      <c r="D80" s="484"/>
      <c r="E80" s="25"/>
      <c r="F80" s="50"/>
      <c r="G80" s="25"/>
      <c r="H80" s="25"/>
      <c r="I80" s="25"/>
      <c r="J80" s="25"/>
      <c r="K80" s="25"/>
      <c r="L80" s="25"/>
      <c r="M80" s="25"/>
      <c r="N80" s="25"/>
      <c r="O80" s="25"/>
    </row>
    <row r="81" spans="1:6" x14ac:dyDescent="0.2">
      <c r="A81" s="25"/>
      <c r="B81" s="25"/>
      <c r="C81" s="71"/>
      <c r="D81" s="42"/>
      <c r="E81" s="25"/>
      <c r="F81" s="50"/>
    </row>
    <row r="82" spans="1:6" x14ac:dyDescent="0.2">
      <c r="A82" s="25" t="s">
        <v>91</v>
      </c>
      <c r="B82" s="25"/>
      <c r="C82" s="71"/>
      <c r="D82" s="42"/>
      <c r="E82" s="25"/>
      <c r="F82" s="50"/>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2"/>
  <sheetViews>
    <sheetView workbookViewId="0">
      <selection activeCell="B12" sqref="B12"/>
    </sheetView>
  </sheetViews>
  <sheetFormatPr defaultRowHeight="15" x14ac:dyDescent="0.25"/>
  <cols>
    <col min="1" max="1" width="16.85546875" style="419" customWidth="1"/>
    <col min="2" max="2" width="14.85546875" style="419" customWidth="1"/>
    <col min="3" max="3" width="9.7109375" style="419" customWidth="1"/>
    <col min="4" max="4" width="8.85546875" style="419" customWidth="1"/>
    <col min="5" max="5" width="6.7109375" style="419" customWidth="1"/>
    <col min="6" max="6" width="11" style="419" customWidth="1"/>
    <col min="7" max="7" width="9.85546875" style="419" customWidth="1"/>
    <col min="8" max="256" width="9.140625" style="419"/>
    <col min="257" max="257" width="16.85546875" style="419" customWidth="1"/>
    <col min="258" max="258" width="14.85546875" style="419" customWidth="1"/>
    <col min="259" max="259" width="9.7109375" style="419" customWidth="1"/>
    <col min="260" max="260" width="8.85546875" style="419" customWidth="1"/>
    <col min="261" max="261" width="6.7109375" style="419" customWidth="1"/>
    <col min="262" max="262" width="11" style="419" customWidth="1"/>
    <col min="263" max="263" width="9.85546875" style="419" customWidth="1"/>
    <col min="264" max="512" width="9.140625" style="419"/>
    <col min="513" max="513" width="16.85546875" style="419" customWidth="1"/>
    <col min="514" max="514" width="14.85546875" style="419" customWidth="1"/>
    <col min="515" max="515" width="9.7109375" style="419" customWidth="1"/>
    <col min="516" max="516" width="8.85546875" style="419" customWidth="1"/>
    <col min="517" max="517" width="6.7109375" style="419" customWidth="1"/>
    <col min="518" max="518" width="11" style="419" customWidth="1"/>
    <col min="519" max="519" width="9.85546875" style="419" customWidth="1"/>
    <col min="520" max="768" width="9.140625" style="419"/>
    <col min="769" max="769" width="16.85546875" style="419" customWidth="1"/>
    <col min="770" max="770" width="14.85546875" style="419" customWidth="1"/>
    <col min="771" max="771" width="9.7109375" style="419" customWidth="1"/>
    <col min="772" max="772" width="8.85546875" style="419" customWidth="1"/>
    <col min="773" max="773" width="6.7109375" style="419" customWidth="1"/>
    <col min="774" max="774" width="11" style="419" customWidth="1"/>
    <col min="775" max="775" width="9.85546875" style="419" customWidth="1"/>
    <col min="776" max="1024" width="9.140625" style="419"/>
    <col min="1025" max="1025" width="16.85546875" style="419" customWidth="1"/>
    <col min="1026" max="1026" width="14.85546875" style="419" customWidth="1"/>
    <col min="1027" max="1027" width="9.7109375" style="419" customWidth="1"/>
    <col min="1028" max="1028" width="8.85546875" style="419" customWidth="1"/>
    <col min="1029" max="1029" width="6.7109375" style="419" customWidth="1"/>
    <col min="1030" max="1030" width="11" style="419" customWidth="1"/>
    <col min="1031" max="1031" width="9.85546875" style="419" customWidth="1"/>
    <col min="1032" max="1280" width="9.140625" style="419"/>
    <col min="1281" max="1281" width="16.85546875" style="419" customWidth="1"/>
    <col min="1282" max="1282" width="14.85546875" style="419" customWidth="1"/>
    <col min="1283" max="1283" width="9.7109375" style="419" customWidth="1"/>
    <col min="1284" max="1284" width="8.85546875" style="419" customWidth="1"/>
    <col min="1285" max="1285" width="6.7109375" style="419" customWidth="1"/>
    <col min="1286" max="1286" width="11" style="419" customWidth="1"/>
    <col min="1287" max="1287" width="9.85546875" style="419" customWidth="1"/>
    <col min="1288" max="1536" width="9.140625" style="419"/>
    <col min="1537" max="1537" width="16.85546875" style="419" customWidth="1"/>
    <col min="1538" max="1538" width="14.85546875" style="419" customWidth="1"/>
    <col min="1539" max="1539" width="9.7109375" style="419" customWidth="1"/>
    <col min="1540" max="1540" width="8.85546875" style="419" customWidth="1"/>
    <col min="1541" max="1541" width="6.7109375" style="419" customWidth="1"/>
    <col min="1542" max="1542" width="11" style="419" customWidth="1"/>
    <col min="1543" max="1543" width="9.85546875" style="419" customWidth="1"/>
    <col min="1544" max="1792" width="9.140625" style="419"/>
    <col min="1793" max="1793" width="16.85546875" style="419" customWidth="1"/>
    <col min="1794" max="1794" width="14.85546875" style="419" customWidth="1"/>
    <col min="1795" max="1795" width="9.7109375" style="419" customWidth="1"/>
    <col min="1796" max="1796" width="8.85546875" style="419" customWidth="1"/>
    <col min="1797" max="1797" width="6.7109375" style="419" customWidth="1"/>
    <col min="1798" max="1798" width="11" style="419" customWidth="1"/>
    <col min="1799" max="1799" width="9.85546875" style="419" customWidth="1"/>
    <col min="1800" max="2048" width="9.140625" style="419"/>
    <col min="2049" max="2049" width="16.85546875" style="419" customWidth="1"/>
    <col min="2050" max="2050" width="14.85546875" style="419" customWidth="1"/>
    <col min="2051" max="2051" width="9.7109375" style="419" customWidth="1"/>
    <col min="2052" max="2052" width="8.85546875" style="419" customWidth="1"/>
    <col min="2053" max="2053" width="6.7109375" style="419" customWidth="1"/>
    <col min="2054" max="2054" width="11" style="419" customWidth="1"/>
    <col min="2055" max="2055" width="9.85546875" style="419" customWidth="1"/>
    <col min="2056" max="2304" width="9.140625" style="419"/>
    <col min="2305" max="2305" width="16.85546875" style="419" customWidth="1"/>
    <col min="2306" max="2306" width="14.85546875" style="419" customWidth="1"/>
    <col min="2307" max="2307" width="9.7109375" style="419" customWidth="1"/>
    <col min="2308" max="2308" width="8.85546875" style="419" customWidth="1"/>
    <col min="2309" max="2309" width="6.7109375" style="419" customWidth="1"/>
    <col min="2310" max="2310" width="11" style="419" customWidth="1"/>
    <col min="2311" max="2311" width="9.85546875" style="419" customWidth="1"/>
    <col min="2312" max="2560" width="9.140625" style="419"/>
    <col min="2561" max="2561" width="16.85546875" style="419" customWidth="1"/>
    <col min="2562" max="2562" width="14.85546875" style="419" customWidth="1"/>
    <col min="2563" max="2563" width="9.7109375" style="419" customWidth="1"/>
    <col min="2564" max="2564" width="8.85546875" style="419" customWidth="1"/>
    <col min="2565" max="2565" width="6.7109375" style="419" customWidth="1"/>
    <col min="2566" max="2566" width="11" style="419" customWidth="1"/>
    <col min="2567" max="2567" width="9.85546875" style="419" customWidth="1"/>
    <col min="2568" max="2816" width="9.140625" style="419"/>
    <col min="2817" max="2817" width="16.85546875" style="419" customWidth="1"/>
    <col min="2818" max="2818" width="14.85546875" style="419" customWidth="1"/>
    <col min="2819" max="2819" width="9.7109375" style="419" customWidth="1"/>
    <col min="2820" max="2820" width="8.85546875" style="419" customWidth="1"/>
    <col min="2821" max="2821" width="6.7109375" style="419" customWidth="1"/>
    <col min="2822" max="2822" width="11" style="419" customWidth="1"/>
    <col min="2823" max="2823" width="9.85546875" style="419" customWidth="1"/>
    <col min="2824" max="3072" width="9.140625" style="419"/>
    <col min="3073" max="3073" width="16.85546875" style="419" customWidth="1"/>
    <col min="3074" max="3074" width="14.85546875" style="419" customWidth="1"/>
    <col min="3075" max="3075" width="9.7109375" style="419" customWidth="1"/>
    <col min="3076" max="3076" width="8.85546875" style="419" customWidth="1"/>
    <col min="3077" max="3077" width="6.7109375" style="419" customWidth="1"/>
    <col min="3078" max="3078" width="11" style="419" customWidth="1"/>
    <col min="3079" max="3079" width="9.85546875" style="419" customWidth="1"/>
    <col min="3080" max="3328" width="9.140625" style="419"/>
    <col min="3329" max="3329" width="16.85546875" style="419" customWidth="1"/>
    <col min="3330" max="3330" width="14.85546875" style="419" customWidth="1"/>
    <col min="3331" max="3331" width="9.7109375" style="419" customWidth="1"/>
    <col min="3332" max="3332" width="8.85546875" style="419" customWidth="1"/>
    <col min="3333" max="3333" width="6.7109375" style="419" customWidth="1"/>
    <col min="3334" max="3334" width="11" style="419" customWidth="1"/>
    <col min="3335" max="3335" width="9.85546875" style="419" customWidth="1"/>
    <col min="3336" max="3584" width="9.140625" style="419"/>
    <col min="3585" max="3585" width="16.85546875" style="419" customWidth="1"/>
    <col min="3586" max="3586" width="14.85546875" style="419" customWidth="1"/>
    <col min="3587" max="3587" width="9.7109375" style="419" customWidth="1"/>
    <col min="3588" max="3588" width="8.85546875" style="419" customWidth="1"/>
    <col min="3589" max="3589" width="6.7109375" style="419" customWidth="1"/>
    <col min="3590" max="3590" width="11" style="419" customWidth="1"/>
    <col min="3591" max="3591" width="9.85546875" style="419" customWidth="1"/>
    <col min="3592" max="3840" width="9.140625" style="419"/>
    <col min="3841" max="3841" width="16.85546875" style="419" customWidth="1"/>
    <col min="3842" max="3842" width="14.85546875" style="419" customWidth="1"/>
    <col min="3843" max="3843" width="9.7109375" style="419" customWidth="1"/>
    <col min="3844" max="3844" width="8.85546875" style="419" customWidth="1"/>
    <col min="3845" max="3845" width="6.7109375" style="419" customWidth="1"/>
    <col min="3846" max="3846" width="11" style="419" customWidth="1"/>
    <col min="3847" max="3847" width="9.85546875" style="419" customWidth="1"/>
    <col min="3848" max="4096" width="9.140625" style="419"/>
    <col min="4097" max="4097" width="16.85546875" style="419" customWidth="1"/>
    <col min="4098" max="4098" width="14.85546875" style="419" customWidth="1"/>
    <col min="4099" max="4099" width="9.7109375" style="419" customWidth="1"/>
    <col min="4100" max="4100" width="8.85546875" style="419" customWidth="1"/>
    <col min="4101" max="4101" width="6.7109375" style="419" customWidth="1"/>
    <col min="4102" max="4102" width="11" style="419" customWidth="1"/>
    <col min="4103" max="4103" width="9.85546875" style="419" customWidth="1"/>
    <col min="4104" max="4352" width="9.140625" style="419"/>
    <col min="4353" max="4353" width="16.85546875" style="419" customWidth="1"/>
    <col min="4354" max="4354" width="14.85546875" style="419" customWidth="1"/>
    <col min="4355" max="4355" width="9.7109375" style="419" customWidth="1"/>
    <col min="4356" max="4356" width="8.85546875" style="419" customWidth="1"/>
    <col min="4357" max="4357" width="6.7109375" style="419" customWidth="1"/>
    <col min="4358" max="4358" width="11" style="419" customWidth="1"/>
    <col min="4359" max="4359" width="9.85546875" style="419" customWidth="1"/>
    <col min="4360" max="4608" width="9.140625" style="419"/>
    <col min="4609" max="4609" width="16.85546875" style="419" customWidth="1"/>
    <col min="4610" max="4610" width="14.85546875" style="419" customWidth="1"/>
    <col min="4611" max="4611" width="9.7109375" style="419" customWidth="1"/>
    <col min="4612" max="4612" width="8.85546875" style="419" customWidth="1"/>
    <col min="4613" max="4613" width="6.7109375" style="419" customWidth="1"/>
    <col min="4614" max="4614" width="11" style="419" customWidth="1"/>
    <col min="4615" max="4615" width="9.85546875" style="419" customWidth="1"/>
    <col min="4616" max="4864" width="9.140625" style="419"/>
    <col min="4865" max="4865" width="16.85546875" style="419" customWidth="1"/>
    <col min="4866" max="4866" width="14.85546875" style="419" customWidth="1"/>
    <col min="4867" max="4867" width="9.7109375" style="419" customWidth="1"/>
    <col min="4868" max="4868" width="8.85546875" style="419" customWidth="1"/>
    <col min="4869" max="4869" width="6.7109375" style="419" customWidth="1"/>
    <col min="4870" max="4870" width="11" style="419" customWidth="1"/>
    <col min="4871" max="4871" width="9.85546875" style="419" customWidth="1"/>
    <col min="4872" max="5120" width="9.140625" style="419"/>
    <col min="5121" max="5121" width="16.85546875" style="419" customWidth="1"/>
    <col min="5122" max="5122" width="14.85546875" style="419" customWidth="1"/>
    <col min="5123" max="5123" width="9.7109375" style="419" customWidth="1"/>
    <col min="5124" max="5124" width="8.85546875" style="419" customWidth="1"/>
    <col min="5125" max="5125" width="6.7109375" style="419" customWidth="1"/>
    <col min="5126" max="5126" width="11" style="419" customWidth="1"/>
    <col min="5127" max="5127" width="9.85546875" style="419" customWidth="1"/>
    <col min="5128" max="5376" width="9.140625" style="419"/>
    <col min="5377" max="5377" width="16.85546875" style="419" customWidth="1"/>
    <col min="5378" max="5378" width="14.85546875" style="419" customWidth="1"/>
    <col min="5379" max="5379" width="9.7109375" style="419" customWidth="1"/>
    <col min="5380" max="5380" width="8.85546875" style="419" customWidth="1"/>
    <col min="5381" max="5381" width="6.7109375" style="419" customWidth="1"/>
    <col min="5382" max="5382" width="11" style="419" customWidth="1"/>
    <col min="5383" max="5383" width="9.85546875" style="419" customWidth="1"/>
    <col min="5384" max="5632" width="9.140625" style="419"/>
    <col min="5633" max="5633" width="16.85546875" style="419" customWidth="1"/>
    <col min="5634" max="5634" width="14.85546875" style="419" customWidth="1"/>
    <col min="5635" max="5635" width="9.7109375" style="419" customWidth="1"/>
    <col min="5636" max="5636" width="8.85546875" style="419" customWidth="1"/>
    <col min="5637" max="5637" width="6.7109375" style="419" customWidth="1"/>
    <col min="5638" max="5638" width="11" style="419" customWidth="1"/>
    <col min="5639" max="5639" width="9.85546875" style="419" customWidth="1"/>
    <col min="5640" max="5888" width="9.140625" style="419"/>
    <col min="5889" max="5889" width="16.85546875" style="419" customWidth="1"/>
    <col min="5890" max="5890" width="14.85546875" style="419" customWidth="1"/>
    <col min="5891" max="5891" width="9.7109375" style="419" customWidth="1"/>
    <col min="5892" max="5892" width="8.85546875" style="419" customWidth="1"/>
    <col min="5893" max="5893" width="6.7109375" style="419" customWidth="1"/>
    <col min="5894" max="5894" width="11" style="419" customWidth="1"/>
    <col min="5895" max="5895" width="9.85546875" style="419" customWidth="1"/>
    <col min="5896" max="6144" width="9.140625" style="419"/>
    <col min="6145" max="6145" width="16.85546875" style="419" customWidth="1"/>
    <col min="6146" max="6146" width="14.85546875" style="419" customWidth="1"/>
    <col min="6147" max="6147" width="9.7109375" style="419" customWidth="1"/>
    <col min="6148" max="6148" width="8.85546875" style="419" customWidth="1"/>
    <col min="6149" max="6149" width="6.7109375" style="419" customWidth="1"/>
    <col min="6150" max="6150" width="11" style="419" customWidth="1"/>
    <col min="6151" max="6151" width="9.85546875" style="419" customWidth="1"/>
    <col min="6152" max="6400" width="9.140625" style="419"/>
    <col min="6401" max="6401" width="16.85546875" style="419" customWidth="1"/>
    <col min="6402" max="6402" width="14.85546875" style="419" customWidth="1"/>
    <col min="6403" max="6403" width="9.7109375" style="419" customWidth="1"/>
    <col min="6404" max="6404" width="8.85546875" style="419" customWidth="1"/>
    <col min="6405" max="6405" width="6.7109375" style="419" customWidth="1"/>
    <col min="6406" max="6406" width="11" style="419" customWidth="1"/>
    <col min="6407" max="6407" width="9.85546875" style="419" customWidth="1"/>
    <col min="6408" max="6656" width="9.140625" style="419"/>
    <col min="6657" max="6657" width="16.85546875" style="419" customWidth="1"/>
    <col min="6658" max="6658" width="14.85546875" style="419" customWidth="1"/>
    <col min="6659" max="6659" width="9.7109375" style="419" customWidth="1"/>
    <col min="6660" max="6660" width="8.85546875" style="419" customWidth="1"/>
    <col min="6661" max="6661" width="6.7109375" style="419" customWidth="1"/>
    <col min="6662" max="6662" width="11" style="419" customWidth="1"/>
    <col min="6663" max="6663" width="9.85546875" style="419" customWidth="1"/>
    <col min="6664" max="6912" width="9.140625" style="419"/>
    <col min="6913" max="6913" width="16.85546875" style="419" customWidth="1"/>
    <col min="6914" max="6914" width="14.85546875" style="419" customWidth="1"/>
    <col min="6915" max="6915" width="9.7109375" style="419" customWidth="1"/>
    <col min="6916" max="6916" width="8.85546875" style="419" customWidth="1"/>
    <col min="6917" max="6917" width="6.7109375" style="419" customWidth="1"/>
    <col min="6918" max="6918" width="11" style="419" customWidth="1"/>
    <col min="6919" max="6919" width="9.85546875" style="419" customWidth="1"/>
    <col min="6920" max="7168" width="9.140625" style="419"/>
    <col min="7169" max="7169" width="16.85546875" style="419" customWidth="1"/>
    <col min="7170" max="7170" width="14.85546875" style="419" customWidth="1"/>
    <col min="7171" max="7171" width="9.7109375" style="419" customWidth="1"/>
    <col min="7172" max="7172" width="8.85546875" style="419" customWidth="1"/>
    <col min="7173" max="7173" width="6.7109375" style="419" customWidth="1"/>
    <col min="7174" max="7174" width="11" style="419" customWidth="1"/>
    <col min="7175" max="7175" width="9.85546875" style="419" customWidth="1"/>
    <col min="7176" max="7424" width="9.140625" style="419"/>
    <col min="7425" max="7425" width="16.85546875" style="419" customWidth="1"/>
    <col min="7426" max="7426" width="14.85546875" style="419" customWidth="1"/>
    <col min="7427" max="7427" width="9.7109375" style="419" customWidth="1"/>
    <col min="7428" max="7428" width="8.85546875" style="419" customWidth="1"/>
    <col min="7429" max="7429" width="6.7109375" style="419" customWidth="1"/>
    <col min="7430" max="7430" width="11" style="419" customWidth="1"/>
    <col min="7431" max="7431" width="9.85546875" style="419" customWidth="1"/>
    <col min="7432" max="7680" width="9.140625" style="419"/>
    <col min="7681" max="7681" width="16.85546875" style="419" customWidth="1"/>
    <col min="7682" max="7682" width="14.85546875" style="419" customWidth="1"/>
    <col min="7683" max="7683" width="9.7109375" style="419" customWidth="1"/>
    <col min="7684" max="7684" width="8.85546875" style="419" customWidth="1"/>
    <col min="7685" max="7685" width="6.7109375" style="419" customWidth="1"/>
    <col min="7686" max="7686" width="11" style="419" customWidth="1"/>
    <col min="7687" max="7687" width="9.85546875" style="419" customWidth="1"/>
    <col min="7688" max="7936" width="9.140625" style="419"/>
    <col min="7937" max="7937" width="16.85546875" style="419" customWidth="1"/>
    <col min="7938" max="7938" width="14.85546875" style="419" customWidth="1"/>
    <col min="7939" max="7939" width="9.7109375" style="419" customWidth="1"/>
    <col min="7940" max="7940" width="8.85546875" style="419" customWidth="1"/>
    <col min="7941" max="7941" width="6.7109375" style="419" customWidth="1"/>
    <col min="7942" max="7942" width="11" style="419" customWidth="1"/>
    <col min="7943" max="7943" width="9.85546875" style="419" customWidth="1"/>
    <col min="7944" max="8192" width="9.140625" style="419"/>
    <col min="8193" max="8193" width="16.85546875" style="419" customWidth="1"/>
    <col min="8194" max="8194" width="14.85546875" style="419" customWidth="1"/>
    <col min="8195" max="8195" width="9.7109375" style="419" customWidth="1"/>
    <col min="8196" max="8196" width="8.85546875" style="419" customWidth="1"/>
    <col min="8197" max="8197" width="6.7109375" style="419" customWidth="1"/>
    <col min="8198" max="8198" width="11" style="419" customWidth="1"/>
    <col min="8199" max="8199" width="9.85546875" style="419" customWidth="1"/>
    <col min="8200" max="8448" width="9.140625" style="419"/>
    <col min="8449" max="8449" width="16.85546875" style="419" customWidth="1"/>
    <col min="8450" max="8450" width="14.85546875" style="419" customWidth="1"/>
    <col min="8451" max="8451" width="9.7109375" style="419" customWidth="1"/>
    <col min="8452" max="8452" width="8.85546875" style="419" customWidth="1"/>
    <col min="8453" max="8453" width="6.7109375" style="419" customWidth="1"/>
    <col min="8454" max="8454" width="11" style="419" customWidth="1"/>
    <col min="8455" max="8455" width="9.85546875" style="419" customWidth="1"/>
    <col min="8456" max="8704" width="9.140625" style="419"/>
    <col min="8705" max="8705" width="16.85546875" style="419" customWidth="1"/>
    <col min="8706" max="8706" width="14.85546875" style="419" customWidth="1"/>
    <col min="8707" max="8707" width="9.7109375" style="419" customWidth="1"/>
    <col min="8708" max="8708" width="8.85546875" style="419" customWidth="1"/>
    <col min="8709" max="8709" width="6.7109375" style="419" customWidth="1"/>
    <col min="8710" max="8710" width="11" style="419" customWidth="1"/>
    <col min="8711" max="8711" width="9.85546875" style="419" customWidth="1"/>
    <col min="8712" max="8960" width="9.140625" style="419"/>
    <col min="8961" max="8961" width="16.85546875" style="419" customWidth="1"/>
    <col min="8962" max="8962" width="14.85546875" style="419" customWidth="1"/>
    <col min="8963" max="8963" width="9.7109375" style="419" customWidth="1"/>
    <col min="8964" max="8964" width="8.85546875" style="419" customWidth="1"/>
    <col min="8965" max="8965" width="6.7109375" style="419" customWidth="1"/>
    <col min="8966" max="8966" width="11" style="419" customWidth="1"/>
    <col min="8967" max="8967" width="9.85546875" style="419" customWidth="1"/>
    <col min="8968" max="9216" width="9.140625" style="419"/>
    <col min="9217" max="9217" width="16.85546875" style="419" customWidth="1"/>
    <col min="9218" max="9218" width="14.85546875" style="419" customWidth="1"/>
    <col min="9219" max="9219" width="9.7109375" style="419" customWidth="1"/>
    <col min="9220" max="9220" width="8.85546875" style="419" customWidth="1"/>
    <col min="9221" max="9221" width="6.7109375" style="419" customWidth="1"/>
    <col min="9222" max="9222" width="11" style="419" customWidth="1"/>
    <col min="9223" max="9223" width="9.85546875" style="419" customWidth="1"/>
    <col min="9224" max="9472" width="9.140625" style="419"/>
    <col min="9473" max="9473" width="16.85546875" style="419" customWidth="1"/>
    <col min="9474" max="9474" width="14.85546875" style="419" customWidth="1"/>
    <col min="9475" max="9475" width="9.7109375" style="419" customWidth="1"/>
    <col min="9476" max="9476" width="8.85546875" style="419" customWidth="1"/>
    <col min="9477" max="9477" width="6.7109375" style="419" customWidth="1"/>
    <col min="9478" max="9478" width="11" style="419" customWidth="1"/>
    <col min="9479" max="9479" width="9.85546875" style="419" customWidth="1"/>
    <col min="9480" max="9728" width="9.140625" style="419"/>
    <col min="9729" max="9729" width="16.85546875" style="419" customWidth="1"/>
    <col min="9730" max="9730" width="14.85546875" style="419" customWidth="1"/>
    <col min="9731" max="9731" width="9.7109375" style="419" customWidth="1"/>
    <col min="9732" max="9732" width="8.85546875" style="419" customWidth="1"/>
    <col min="9733" max="9733" width="6.7109375" style="419" customWidth="1"/>
    <col min="9734" max="9734" width="11" style="419" customWidth="1"/>
    <col min="9735" max="9735" width="9.85546875" style="419" customWidth="1"/>
    <col min="9736" max="9984" width="9.140625" style="419"/>
    <col min="9985" max="9985" width="16.85546875" style="419" customWidth="1"/>
    <col min="9986" max="9986" width="14.85546875" style="419" customWidth="1"/>
    <col min="9987" max="9987" width="9.7109375" style="419" customWidth="1"/>
    <col min="9988" max="9988" width="8.85546875" style="419" customWidth="1"/>
    <col min="9989" max="9989" width="6.7109375" style="419" customWidth="1"/>
    <col min="9990" max="9990" width="11" style="419" customWidth="1"/>
    <col min="9991" max="9991" width="9.85546875" style="419" customWidth="1"/>
    <col min="9992" max="10240" width="9.140625" style="419"/>
    <col min="10241" max="10241" width="16.85546875" style="419" customWidth="1"/>
    <col min="10242" max="10242" width="14.85546875" style="419" customWidth="1"/>
    <col min="10243" max="10243" width="9.7109375" style="419" customWidth="1"/>
    <col min="10244" max="10244" width="8.85546875" style="419" customWidth="1"/>
    <col min="10245" max="10245" width="6.7109375" style="419" customWidth="1"/>
    <col min="10246" max="10246" width="11" style="419" customWidth="1"/>
    <col min="10247" max="10247" width="9.85546875" style="419" customWidth="1"/>
    <col min="10248" max="10496" width="9.140625" style="419"/>
    <col min="10497" max="10497" width="16.85546875" style="419" customWidth="1"/>
    <col min="10498" max="10498" width="14.85546875" style="419" customWidth="1"/>
    <col min="10499" max="10499" width="9.7109375" style="419" customWidth="1"/>
    <col min="10500" max="10500" width="8.85546875" style="419" customWidth="1"/>
    <col min="10501" max="10501" width="6.7109375" style="419" customWidth="1"/>
    <col min="10502" max="10502" width="11" style="419" customWidth="1"/>
    <col min="10503" max="10503" width="9.85546875" style="419" customWidth="1"/>
    <col min="10504" max="10752" width="9.140625" style="419"/>
    <col min="10753" max="10753" width="16.85546875" style="419" customWidth="1"/>
    <col min="10754" max="10754" width="14.85546875" style="419" customWidth="1"/>
    <col min="10755" max="10755" width="9.7109375" style="419" customWidth="1"/>
    <col min="10756" max="10756" width="8.85546875" style="419" customWidth="1"/>
    <col min="10757" max="10757" width="6.7109375" style="419" customWidth="1"/>
    <col min="10758" max="10758" width="11" style="419" customWidth="1"/>
    <col min="10759" max="10759" width="9.85546875" style="419" customWidth="1"/>
    <col min="10760" max="11008" width="9.140625" style="419"/>
    <col min="11009" max="11009" width="16.85546875" style="419" customWidth="1"/>
    <col min="11010" max="11010" width="14.85546875" style="419" customWidth="1"/>
    <col min="11011" max="11011" width="9.7109375" style="419" customWidth="1"/>
    <col min="11012" max="11012" width="8.85546875" style="419" customWidth="1"/>
    <col min="11013" max="11013" width="6.7109375" style="419" customWidth="1"/>
    <col min="11014" max="11014" width="11" style="419" customWidth="1"/>
    <col min="11015" max="11015" width="9.85546875" style="419" customWidth="1"/>
    <col min="11016" max="11264" width="9.140625" style="419"/>
    <col min="11265" max="11265" width="16.85546875" style="419" customWidth="1"/>
    <col min="11266" max="11266" width="14.85546875" style="419" customWidth="1"/>
    <col min="11267" max="11267" width="9.7109375" style="419" customWidth="1"/>
    <col min="11268" max="11268" width="8.85546875" style="419" customWidth="1"/>
    <col min="11269" max="11269" width="6.7109375" style="419" customWidth="1"/>
    <col min="11270" max="11270" width="11" style="419" customWidth="1"/>
    <col min="11271" max="11271" width="9.85546875" style="419" customWidth="1"/>
    <col min="11272" max="11520" width="9.140625" style="419"/>
    <col min="11521" max="11521" width="16.85546875" style="419" customWidth="1"/>
    <col min="11522" max="11522" width="14.85546875" style="419" customWidth="1"/>
    <col min="11523" max="11523" width="9.7109375" style="419" customWidth="1"/>
    <col min="11524" max="11524" width="8.85546875" style="419" customWidth="1"/>
    <col min="11525" max="11525" width="6.7109375" style="419" customWidth="1"/>
    <col min="11526" max="11526" width="11" style="419" customWidth="1"/>
    <col min="11527" max="11527" width="9.85546875" style="419" customWidth="1"/>
    <col min="11528" max="11776" width="9.140625" style="419"/>
    <col min="11777" max="11777" width="16.85546875" style="419" customWidth="1"/>
    <col min="11778" max="11778" width="14.85546875" style="419" customWidth="1"/>
    <col min="11779" max="11779" width="9.7109375" style="419" customWidth="1"/>
    <col min="11780" max="11780" width="8.85546875" style="419" customWidth="1"/>
    <col min="11781" max="11781" width="6.7109375" style="419" customWidth="1"/>
    <col min="11782" max="11782" width="11" style="419" customWidth="1"/>
    <col min="11783" max="11783" width="9.85546875" style="419" customWidth="1"/>
    <col min="11784" max="12032" width="9.140625" style="419"/>
    <col min="12033" max="12033" width="16.85546875" style="419" customWidth="1"/>
    <col min="12034" max="12034" width="14.85546875" style="419" customWidth="1"/>
    <col min="12035" max="12035" width="9.7109375" style="419" customWidth="1"/>
    <col min="12036" max="12036" width="8.85546875" style="419" customWidth="1"/>
    <col min="12037" max="12037" width="6.7109375" style="419" customWidth="1"/>
    <col min="12038" max="12038" width="11" style="419" customWidth="1"/>
    <col min="12039" max="12039" width="9.85546875" style="419" customWidth="1"/>
    <col min="12040" max="12288" width="9.140625" style="419"/>
    <col min="12289" max="12289" width="16.85546875" style="419" customWidth="1"/>
    <col min="12290" max="12290" width="14.85546875" style="419" customWidth="1"/>
    <col min="12291" max="12291" width="9.7109375" style="419" customWidth="1"/>
    <col min="12292" max="12292" width="8.85546875" style="419" customWidth="1"/>
    <col min="12293" max="12293" width="6.7109375" style="419" customWidth="1"/>
    <col min="12294" max="12294" width="11" style="419" customWidth="1"/>
    <col min="12295" max="12295" width="9.85546875" style="419" customWidth="1"/>
    <col min="12296" max="12544" width="9.140625" style="419"/>
    <col min="12545" max="12545" width="16.85546875" style="419" customWidth="1"/>
    <col min="12546" max="12546" width="14.85546875" style="419" customWidth="1"/>
    <col min="12547" max="12547" width="9.7109375" style="419" customWidth="1"/>
    <col min="12548" max="12548" width="8.85546875" style="419" customWidth="1"/>
    <col min="12549" max="12549" width="6.7109375" style="419" customWidth="1"/>
    <col min="12550" max="12550" width="11" style="419" customWidth="1"/>
    <col min="12551" max="12551" width="9.85546875" style="419" customWidth="1"/>
    <col min="12552" max="12800" width="9.140625" style="419"/>
    <col min="12801" max="12801" width="16.85546875" style="419" customWidth="1"/>
    <col min="12802" max="12802" width="14.85546875" style="419" customWidth="1"/>
    <col min="12803" max="12803" width="9.7109375" style="419" customWidth="1"/>
    <col min="12804" max="12804" width="8.85546875" style="419" customWidth="1"/>
    <col min="12805" max="12805" width="6.7109375" style="419" customWidth="1"/>
    <col min="12806" max="12806" width="11" style="419" customWidth="1"/>
    <col min="12807" max="12807" width="9.85546875" style="419" customWidth="1"/>
    <col min="12808" max="13056" width="9.140625" style="419"/>
    <col min="13057" max="13057" width="16.85546875" style="419" customWidth="1"/>
    <col min="13058" max="13058" width="14.85546875" style="419" customWidth="1"/>
    <col min="13059" max="13059" width="9.7109375" style="419" customWidth="1"/>
    <col min="13060" max="13060" width="8.85546875" style="419" customWidth="1"/>
    <col min="13061" max="13061" width="6.7109375" style="419" customWidth="1"/>
    <col min="13062" max="13062" width="11" style="419" customWidth="1"/>
    <col min="13063" max="13063" width="9.85546875" style="419" customWidth="1"/>
    <col min="13064" max="13312" width="9.140625" style="419"/>
    <col min="13313" max="13313" width="16.85546875" style="419" customWidth="1"/>
    <col min="13314" max="13314" width="14.85546875" style="419" customWidth="1"/>
    <col min="13315" max="13315" width="9.7109375" style="419" customWidth="1"/>
    <col min="13316" max="13316" width="8.85546875" style="419" customWidth="1"/>
    <col min="13317" max="13317" width="6.7109375" style="419" customWidth="1"/>
    <col min="13318" max="13318" width="11" style="419" customWidth="1"/>
    <col min="13319" max="13319" width="9.85546875" style="419" customWidth="1"/>
    <col min="13320" max="13568" width="9.140625" style="419"/>
    <col min="13569" max="13569" width="16.85546875" style="419" customWidth="1"/>
    <col min="13570" max="13570" width="14.85546875" style="419" customWidth="1"/>
    <col min="13571" max="13571" width="9.7109375" style="419" customWidth="1"/>
    <col min="13572" max="13572" width="8.85546875" style="419" customWidth="1"/>
    <col min="13573" max="13573" width="6.7109375" style="419" customWidth="1"/>
    <col min="13574" max="13574" width="11" style="419" customWidth="1"/>
    <col min="13575" max="13575" width="9.85546875" style="419" customWidth="1"/>
    <col min="13576" max="13824" width="9.140625" style="419"/>
    <col min="13825" max="13825" width="16.85546875" style="419" customWidth="1"/>
    <col min="13826" max="13826" width="14.85546875" style="419" customWidth="1"/>
    <col min="13827" max="13827" width="9.7109375" style="419" customWidth="1"/>
    <col min="13828" max="13828" width="8.85546875" style="419" customWidth="1"/>
    <col min="13829" max="13829" width="6.7109375" style="419" customWidth="1"/>
    <col min="13830" max="13830" width="11" style="419" customWidth="1"/>
    <col min="13831" max="13831" width="9.85546875" style="419" customWidth="1"/>
    <col min="13832" max="14080" width="9.140625" style="419"/>
    <col min="14081" max="14081" width="16.85546875" style="419" customWidth="1"/>
    <col min="14082" max="14082" width="14.85546875" style="419" customWidth="1"/>
    <col min="14083" max="14083" width="9.7109375" style="419" customWidth="1"/>
    <col min="14084" max="14084" width="8.85546875" style="419" customWidth="1"/>
    <col min="14085" max="14085" width="6.7109375" style="419" customWidth="1"/>
    <col min="14086" max="14086" width="11" style="419" customWidth="1"/>
    <col min="14087" max="14087" width="9.85546875" style="419" customWidth="1"/>
    <col min="14088" max="14336" width="9.140625" style="419"/>
    <col min="14337" max="14337" width="16.85546875" style="419" customWidth="1"/>
    <col min="14338" max="14338" width="14.85546875" style="419" customWidth="1"/>
    <col min="14339" max="14339" width="9.7109375" style="419" customWidth="1"/>
    <col min="14340" max="14340" width="8.85546875" style="419" customWidth="1"/>
    <col min="14341" max="14341" width="6.7109375" style="419" customWidth="1"/>
    <col min="14342" max="14342" width="11" style="419" customWidth="1"/>
    <col min="14343" max="14343" width="9.85546875" style="419" customWidth="1"/>
    <col min="14344" max="14592" width="9.140625" style="419"/>
    <col min="14593" max="14593" width="16.85546875" style="419" customWidth="1"/>
    <col min="14594" max="14594" width="14.85546875" style="419" customWidth="1"/>
    <col min="14595" max="14595" width="9.7109375" style="419" customWidth="1"/>
    <col min="14596" max="14596" width="8.85546875" style="419" customWidth="1"/>
    <col min="14597" max="14597" width="6.7109375" style="419" customWidth="1"/>
    <col min="14598" max="14598" width="11" style="419" customWidth="1"/>
    <col min="14599" max="14599" width="9.85546875" style="419" customWidth="1"/>
    <col min="14600" max="14848" width="9.140625" style="419"/>
    <col min="14849" max="14849" width="16.85546875" style="419" customWidth="1"/>
    <col min="14850" max="14850" width="14.85546875" style="419" customWidth="1"/>
    <col min="14851" max="14851" width="9.7109375" style="419" customWidth="1"/>
    <col min="14852" max="14852" width="8.85546875" style="419" customWidth="1"/>
    <col min="14853" max="14853" width="6.7109375" style="419" customWidth="1"/>
    <col min="14854" max="14854" width="11" style="419" customWidth="1"/>
    <col min="14855" max="14855" width="9.85546875" style="419" customWidth="1"/>
    <col min="14856" max="15104" width="9.140625" style="419"/>
    <col min="15105" max="15105" width="16.85546875" style="419" customWidth="1"/>
    <col min="15106" max="15106" width="14.85546875" style="419" customWidth="1"/>
    <col min="15107" max="15107" width="9.7109375" style="419" customWidth="1"/>
    <col min="15108" max="15108" width="8.85546875" style="419" customWidth="1"/>
    <col min="15109" max="15109" width="6.7109375" style="419" customWidth="1"/>
    <col min="15110" max="15110" width="11" style="419" customWidth="1"/>
    <col min="15111" max="15111" width="9.85546875" style="419" customWidth="1"/>
    <col min="15112" max="15360" width="9.140625" style="419"/>
    <col min="15361" max="15361" width="16.85546875" style="419" customWidth="1"/>
    <col min="15362" max="15362" width="14.85546875" style="419" customWidth="1"/>
    <col min="15363" max="15363" width="9.7109375" style="419" customWidth="1"/>
    <col min="15364" max="15364" width="8.85546875" style="419" customWidth="1"/>
    <col min="15365" max="15365" width="6.7109375" style="419" customWidth="1"/>
    <col min="15366" max="15366" width="11" style="419" customWidth="1"/>
    <col min="15367" max="15367" width="9.85546875" style="419" customWidth="1"/>
    <col min="15368" max="15616" width="9.140625" style="419"/>
    <col min="15617" max="15617" width="16.85546875" style="419" customWidth="1"/>
    <col min="15618" max="15618" width="14.85546875" style="419" customWidth="1"/>
    <col min="15619" max="15619" width="9.7109375" style="419" customWidth="1"/>
    <col min="15620" max="15620" width="8.85546875" style="419" customWidth="1"/>
    <col min="15621" max="15621" width="6.7109375" style="419" customWidth="1"/>
    <col min="15622" max="15622" width="11" style="419" customWidth="1"/>
    <col min="15623" max="15623" width="9.85546875" style="419" customWidth="1"/>
    <col min="15624" max="15872" width="9.140625" style="419"/>
    <col min="15873" max="15873" width="16.85546875" style="419" customWidth="1"/>
    <col min="15874" max="15874" width="14.85546875" style="419" customWidth="1"/>
    <col min="15875" max="15875" width="9.7109375" style="419" customWidth="1"/>
    <col min="15876" max="15876" width="8.85546875" style="419" customWidth="1"/>
    <col min="15877" max="15877" width="6.7109375" style="419" customWidth="1"/>
    <col min="15878" max="15878" width="11" style="419" customWidth="1"/>
    <col min="15879" max="15879" width="9.85546875" style="419" customWidth="1"/>
    <col min="15880" max="16128" width="9.140625" style="419"/>
    <col min="16129" max="16129" width="16.85546875" style="419" customWidth="1"/>
    <col min="16130" max="16130" width="14.85546875" style="419" customWidth="1"/>
    <col min="16131" max="16131" width="9.7109375" style="419" customWidth="1"/>
    <col min="16132" max="16132" width="8.85546875" style="419" customWidth="1"/>
    <col min="16133" max="16133" width="6.7109375" style="419" customWidth="1"/>
    <col min="16134" max="16134" width="11" style="419" customWidth="1"/>
    <col min="16135" max="16135" width="9.85546875" style="419" customWidth="1"/>
    <col min="16136" max="16384" width="9.140625" style="419"/>
  </cols>
  <sheetData>
    <row r="1" spans="1:7" x14ac:dyDescent="0.25">
      <c r="A1" s="419" t="s">
        <v>285</v>
      </c>
    </row>
    <row r="3" spans="1:7" x14ac:dyDescent="0.25">
      <c r="B3" s="420" t="s">
        <v>286</v>
      </c>
      <c r="D3" s="421" t="s">
        <v>287</v>
      </c>
      <c r="E3" s="420" t="s">
        <v>287</v>
      </c>
      <c r="F3" s="420" t="s">
        <v>288</v>
      </c>
      <c r="G3" s="420" t="s">
        <v>288</v>
      </c>
    </row>
    <row r="4" spans="1:7" x14ac:dyDescent="0.25">
      <c r="B4" s="422" t="s">
        <v>289</v>
      </c>
      <c r="D4" s="423"/>
      <c r="E4" s="422" t="s">
        <v>290</v>
      </c>
      <c r="F4" s="422" t="s">
        <v>291</v>
      </c>
      <c r="G4" s="422" t="s">
        <v>292</v>
      </c>
    </row>
    <row r="5" spans="1:7" x14ac:dyDescent="0.25">
      <c r="A5" s="420" t="s">
        <v>293</v>
      </c>
      <c r="B5" s="424"/>
      <c r="C5" s="425" t="s">
        <v>290</v>
      </c>
      <c r="D5" s="421" t="s">
        <v>294</v>
      </c>
      <c r="E5" s="419">
        <f>(B6-B5)</f>
        <v>0</v>
      </c>
      <c r="F5" s="426" t="e">
        <f>POWER((E5/E7),2)</f>
        <v>#DIV/0!</v>
      </c>
      <c r="G5" s="427" t="e">
        <f>F5/F7</f>
        <v>#DIV/0!</v>
      </c>
    </row>
    <row r="6" spans="1:7" ht="15.75" thickBot="1" x14ac:dyDescent="0.3">
      <c r="A6" s="420" t="s">
        <v>295</v>
      </c>
      <c r="B6" s="428"/>
      <c r="C6" s="425" t="s">
        <v>290</v>
      </c>
      <c r="D6" s="429" t="s">
        <v>296</v>
      </c>
      <c r="E6" s="430">
        <f>(B7-B6)</f>
        <v>0</v>
      </c>
      <c r="F6" s="431" t="e">
        <f>POWER((E6/E7),2)</f>
        <v>#DIV/0!</v>
      </c>
      <c r="G6" s="427" t="e">
        <f>F6/F7</f>
        <v>#DIV/0!</v>
      </c>
    </row>
    <row r="7" spans="1:7" x14ac:dyDescent="0.25">
      <c r="A7" s="420" t="s">
        <v>297</v>
      </c>
      <c r="B7" s="428"/>
      <c r="C7" s="425" t="s">
        <v>290</v>
      </c>
      <c r="D7" s="421" t="s">
        <v>298</v>
      </c>
      <c r="E7" s="419">
        <f>(B7-B5)</f>
        <v>0</v>
      </c>
      <c r="F7" s="426" t="e">
        <f>(F5+F6)</f>
        <v>#DIV/0!</v>
      </c>
    </row>
    <row r="8" spans="1:7" x14ac:dyDescent="0.25">
      <c r="A8" s="420"/>
      <c r="B8" s="432"/>
    </row>
    <row r="9" spans="1:7" x14ac:dyDescent="0.25">
      <c r="A9" s="433" t="s">
        <v>299</v>
      </c>
      <c r="B9" s="428"/>
      <c r="C9" s="425" t="s">
        <v>253</v>
      </c>
    </row>
    <row r="10" spans="1:7" x14ac:dyDescent="0.25">
      <c r="A10" s="433" t="s">
        <v>300</v>
      </c>
      <c r="B10" s="428"/>
      <c r="C10" s="425" t="s">
        <v>243</v>
      </c>
    </row>
    <row r="11" spans="1:7" x14ac:dyDescent="0.25">
      <c r="A11" s="434"/>
    </row>
    <row r="12" spans="1:7" x14ac:dyDescent="0.25">
      <c r="A12" s="420" t="s">
        <v>301</v>
      </c>
      <c r="B12" s="435" t="e">
        <f>(((((0.5-G5)*B9))/B10)*1000)</f>
        <v>#DIV/0!</v>
      </c>
      <c r="C12" s="425" t="s">
        <v>302</v>
      </c>
    </row>
    <row r="13" spans="1:7" x14ac:dyDescent="0.25">
      <c r="A13" s="420"/>
      <c r="B13" s="435" t="e">
        <f>B12+(B12-(B12*0.875))</f>
        <v>#DIV/0!</v>
      </c>
      <c r="C13" s="425" t="s">
        <v>303</v>
      </c>
    </row>
    <row r="14" spans="1:7" x14ac:dyDescent="0.25">
      <c r="A14" s="420"/>
      <c r="B14" s="435" t="e">
        <f>(B13/15.55)</f>
        <v>#DIV/0!</v>
      </c>
      <c r="C14" s="425" t="s">
        <v>304</v>
      </c>
    </row>
    <row r="15" spans="1:7" x14ac:dyDescent="0.25">
      <c r="A15" s="420"/>
    </row>
    <row r="17" spans="1:2" x14ac:dyDescent="0.25">
      <c r="A17" s="436" t="s">
        <v>305</v>
      </c>
      <c r="B17" s="419" t="s">
        <v>306</v>
      </c>
    </row>
    <row r="18" spans="1:2" x14ac:dyDescent="0.25">
      <c r="A18" s="437" t="s">
        <v>307</v>
      </c>
      <c r="B18" s="419" t="s">
        <v>308</v>
      </c>
    </row>
    <row r="19" spans="1:2" x14ac:dyDescent="0.25">
      <c r="A19" s="438" t="s">
        <v>309</v>
      </c>
      <c r="B19" s="419" t="s">
        <v>310</v>
      </c>
    </row>
    <row r="20" spans="1:2" x14ac:dyDescent="0.25">
      <c r="A20" s="420"/>
    </row>
    <row r="21" spans="1:2" x14ac:dyDescent="0.25">
      <c r="A21" s="420" t="s">
        <v>311</v>
      </c>
      <c r="B21" s="439">
        <v>40602</v>
      </c>
    </row>
    <row r="22" spans="1:2" x14ac:dyDescent="0.25">
      <c r="A22" s="420" t="s">
        <v>312</v>
      </c>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O82"/>
  <sheetViews>
    <sheetView zoomScaleNormal="100" zoomScaleSheetLayoutView="115" workbookViewId="0">
      <selection activeCell="O5" sqref="O5:O6"/>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90" customWidth="1"/>
    <col min="7" max="16384" width="9.140625" style="21"/>
  </cols>
  <sheetData>
    <row r="1" spans="1:15" customFormat="1" ht="20.25" customHeight="1" x14ac:dyDescent="0.2">
      <c r="A1" s="21"/>
      <c r="B1" s="21"/>
      <c r="C1" s="85"/>
      <c r="D1" s="171" t="s">
        <v>155</v>
      </c>
      <c r="E1" s="172" t="str">
        <f>Ballast!$H$1</f>
        <v>4095-GBPSH</v>
      </c>
      <c r="F1" s="359"/>
      <c r="H1" s="399" t="s">
        <v>250</v>
      </c>
      <c r="I1" s="385"/>
      <c r="J1" s="385"/>
      <c r="K1" s="394"/>
      <c r="L1" s="394"/>
      <c r="M1" s="394"/>
      <c r="N1" s="395"/>
    </row>
    <row r="2" spans="1:15" customFormat="1" ht="20.25" customHeight="1" x14ac:dyDescent="0.2">
      <c r="A2" s="21"/>
      <c r="B2" s="21"/>
      <c r="C2" s="85"/>
      <c r="D2" s="173" t="s">
        <v>156</v>
      </c>
      <c r="E2" s="174" t="str">
        <f>Ballast!$H$2</f>
        <v>F</v>
      </c>
      <c r="F2" s="359"/>
      <c r="H2" s="396"/>
      <c r="I2" s="392"/>
      <c r="J2" s="353"/>
      <c r="K2" s="353"/>
      <c r="L2" s="393" t="s">
        <v>255</v>
      </c>
      <c r="M2" s="388"/>
      <c r="N2" s="352" t="s">
        <v>10</v>
      </c>
      <c r="O2" s="400" t="s">
        <v>256</v>
      </c>
    </row>
    <row r="3" spans="1:15" customFormat="1" ht="20.25" customHeight="1" x14ac:dyDescent="0.2">
      <c r="A3" s="21"/>
      <c r="B3" s="21"/>
      <c r="C3" s="85"/>
      <c r="D3" s="173" t="s">
        <v>1</v>
      </c>
      <c r="E3" s="175">
        <f>Ballast!$H$3</f>
        <v>41813</v>
      </c>
      <c r="F3" s="359"/>
      <c r="H3" s="391"/>
      <c r="I3" s="350"/>
      <c r="J3" s="25"/>
      <c r="K3" s="25"/>
      <c r="L3" s="351" t="s">
        <v>252</v>
      </c>
      <c r="M3" s="388"/>
      <c r="N3" s="352" t="s">
        <v>10</v>
      </c>
      <c r="O3" s="400" t="s">
        <v>257</v>
      </c>
    </row>
    <row r="4" spans="1:15" customFormat="1" ht="20.25" customHeight="1" thickBot="1" x14ac:dyDescent="0.25">
      <c r="A4" s="21"/>
      <c r="B4" s="21"/>
      <c r="C4" s="85"/>
      <c r="D4" s="176" t="s">
        <v>157</v>
      </c>
      <c r="E4" s="177">
        <f>Ballast!$H$4</f>
        <v>12698</v>
      </c>
      <c r="F4" s="359"/>
      <c r="H4" s="391"/>
      <c r="I4" s="350"/>
      <c r="J4" s="25"/>
      <c r="K4" s="25"/>
      <c r="L4" s="354"/>
      <c r="M4" s="25"/>
      <c r="N4" s="36"/>
      <c r="O4" s="400"/>
    </row>
    <row r="5" spans="1:15" customFormat="1" ht="15" customHeight="1" thickBot="1" x14ac:dyDescent="0.25">
      <c r="A5" s="21"/>
      <c r="B5" s="21"/>
      <c r="C5" s="85"/>
      <c r="D5" s="85"/>
      <c r="E5" s="85"/>
      <c r="F5" s="359"/>
      <c r="H5" s="391"/>
      <c r="I5" s="350"/>
      <c r="J5" s="25"/>
      <c r="K5" s="25"/>
      <c r="L5" s="351" t="s">
        <v>251</v>
      </c>
      <c r="M5" s="402"/>
      <c r="N5" s="352" t="s">
        <v>243</v>
      </c>
      <c r="O5" s="400" t="s">
        <v>317</v>
      </c>
    </row>
    <row r="6" spans="1:15" customFormat="1" ht="15" customHeight="1" thickTop="1" thickBot="1" x14ac:dyDescent="0.25">
      <c r="A6" s="209"/>
      <c r="B6" s="209"/>
      <c r="C6" s="181"/>
      <c r="D6" s="181"/>
      <c r="E6" s="181"/>
      <c r="F6" s="359"/>
      <c r="H6" s="37"/>
      <c r="I6" s="350"/>
      <c r="J6" s="25"/>
      <c r="K6" s="25"/>
      <c r="L6" s="351" t="s">
        <v>237</v>
      </c>
      <c r="M6" s="402"/>
      <c r="N6" s="352" t="s">
        <v>224</v>
      </c>
      <c r="O6" s="400" t="s">
        <v>318</v>
      </c>
    </row>
    <row r="7" spans="1:15" x14ac:dyDescent="0.2">
      <c r="A7" s="168" t="s">
        <v>29</v>
      </c>
      <c r="B7" s="239" t="str">
        <f>IF(ISBLANK(Ballast!C13),"",Ballast!C13)</f>
        <v>631</v>
      </c>
      <c r="C7" s="85"/>
      <c r="D7" s="85"/>
      <c r="E7" s="85"/>
      <c r="F7" s="349"/>
      <c r="H7" s="37"/>
      <c r="I7" s="350"/>
      <c r="J7" s="25"/>
      <c r="K7" s="25"/>
      <c r="L7" s="351" t="s">
        <v>239</v>
      </c>
      <c r="M7" s="402">
        <v>0</v>
      </c>
      <c r="N7" s="352" t="s">
        <v>253</v>
      </c>
      <c r="O7" s="401" t="s">
        <v>259</v>
      </c>
    </row>
    <row r="8" spans="1:15" ht="13.5" thickBot="1" x14ac:dyDescent="0.25">
      <c r="A8" s="169" t="s">
        <v>1</v>
      </c>
      <c r="B8" s="240">
        <f>IF(ISBLANK(Ballast!C15),"",Ballast!C15)</f>
        <v>44397</v>
      </c>
      <c r="C8" s="85"/>
      <c r="D8" s="85"/>
      <c r="E8" s="85"/>
      <c r="F8" s="349"/>
      <c r="H8" s="37"/>
      <c r="I8" s="350"/>
      <c r="J8" s="25"/>
      <c r="K8" s="25"/>
      <c r="L8" s="351" t="s">
        <v>238</v>
      </c>
      <c r="M8" s="402">
        <v>0</v>
      </c>
      <c r="N8" s="352" t="s">
        <v>253</v>
      </c>
      <c r="O8" s="401" t="s">
        <v>259</v>
      </c>
    </row>
    <row r="9" spans="1:15" x14ac:dyDescent="0.2">
      <c r="A9" s="30"/>
      <c r="C9" s="85"/>
      <c r="D9" s="85"/>
      <c r="E9" s="85"/>
      <c r="F9" s="349"/>
      <c r="H9" s="37"/>
      <c r="I9" s="25"/>
      <c r="J9" s="25"/>
      <c r="K9" s="25"/>
      <c r="L9" s="351" t="s">
        <v>240</v>
      </c>
      <c r="M9" s="46">
        <f>AVERAGE(M7:M8)</f>
        <v>0</v>
      </c>
      <c r="N9" s="352" t="s">
        <v>253</v>
      </c>
      <c r="O9" s="401" t="s">
        <v>260</v>
      </c>
    </row>
    <row r="10" spans="1:15" x14ac:dyDescent="0.2">
      <c r="A10" s="30"/>
      <c r="C10" s="85"/>
      <c r="D10" s="85"/>
      <c r="E10" s="85"/>
      <c r="F10" s="349"/>
      <c r="H10" s="37"/>
      <c r="I10" s="25"/>
      <c r="J10" s="25"/>
      <c r="K10" s="25"/>
      <c r="L10" s="25"/>
      <c r="M10" s="25"/>
      <c r="N10" s="36"/>
      <c r="O10" s="401"/>
    </row>
    <row r="11" spans="1:15" ht="13.5" thickBot="1" x14ac:dyDescent="0.25">
      <c r="A11" s="30"/>
      <c r="C11" s="85"/>
      <c r="D11" s="85"/>
      <c r="E11" s="85"/>
      <c r="F11" s="349"/>
      <c r="H11" s="47"/>
      <c r="I11" s="357"/>
      <c r="J11" s="357"/>
      <c r="K11" s="357"/>
      <c r="L11" s="398" t="s">
        <v>254</v>
      </c>
      <c r="M11" s="397">
        <f>-M9</f>
        <v>0</v>
      </c>
      <c r="N11" s="55"/>
      <c r="O11" s="401" t="s">
        <v>258</v>
      </c>
    </row>
    <row r="12" spans="1:15" x14ac:dyDescent="0.2">
      <c r="A12" s="30"/>
      <c r="C12" s="85"/>
      <c r="D12" s="85"/>
      <c r="E12" s="85"/>
      <c r="F12" s="349"/>
    </row>
    <row r="13" spans="1:15" x14ac:dyDescent="0.2">
      <c r="A13" s="30"/>
      <c r="C13" s="85"/>
      <c r="D13" s="85"/>
      <c r="E13" s="85"/>
      <c r="F13" s="349"/>
    </row>
    <row r="14" spans="1:15" x14ac:dyDescent="0.2">
      <c r="A14" s="30"/>
      <c r="C14" s="85"/>
      <c r="D14" s="85"/>
      <c r="E14" s="85"/>
      <c r="F14" s="349"/>
    </row>
    <row r="15" spans="1:15" x14ac:dyDescent="0.2">
      <c r="A15" s="480" t="s">
        <v>173</v>
      </c>
      <c r="B15" s="480"/>
      <c r="C15" s="480"/>
      <c r="D15" s="480"/>
      <c r="E15" s="85"/>
      <c r="F15" s="349"/>
    </row>
    <row r="16" spans="1:15" ht="13.5" thickBot="1" x14ac:dyDescent="0.25">
      <c r="A16" s="232"/>
      <c r="B16" s="232"/>
      <c r="C16" s="232"/>
      <c r="D16" s="232"/>
      <c r="E16" s="85"/>
      <c r="F16" s="349"/>
    </row>
    <row r="17" spans="1:14" ht="13.5" thickBot="1" x14ac:dyDescent="0.25">
      <c r="A17" s="31" t="s">
        <v>60</v>
      </c>
      <c r="B17" s="32"/>
      <c r="C17" s="182"/>
      <c r="D17" s="183"/>
      <c r="E17" s="85"/>
      <c r="F17" s="349"/>
    </row>
    <row r="18" spans="1:14" x14ac:dyDescent="0.2">
      <c r="A18" s="34"/>
      <c r="B18" s="35" t="s">
        <v>39</v>
      </c>
      <c r="C18" s="72">
        <v>0</v>
      </c>
      <c r="D18" s="36" t="s">
        <v>10</v>
      </c>
      <c r="E18" s="383" t="s">
        <v>248</v>
      </c>
      <c r="F18" s="384"/>
      <c r="G18" s="385"/>
      <c r="H18" s="386"/>
      <c r="I18" s="385"/>
      <c r="J18" s="387"/>
    </row>
    <row r="19" spans="1:14" x14ac:dyDescent="0.2">
      <c r="A19" s="37"/>
      <c r="B19" s="38" t="s">
        <v>40</v>
      </c>
      <c r="C19" s="72">
        <v>0</v>
      </c>
      <c r="D19" s="36" t="s">
        <v>10</v>
      </c>
      <c r="E19" s="379" t="str">
        <f>IF(C19&gt;5000,"Error: scale reading too high",IF(C19&lt;0,"Error: scale reading should be positive",""))</f>
        <v/>
      </c>
      <c r="F19" s="350"/>
      <c r="G19" s="25"/>
      <c r="H19" s="380" t="s">
        <v>246</v>
      </c>
      <c r="I19" s="46">
        <f>Worksheet!G7</f>
        <v>74109</v>
      </c>
      <c r="J19" s="352" t="s">
        <v>10</v>
      </c>
    </row>
    <row r="20" spans="1:14" x14ac:dyDescent="0.2">
      <c r="A20" s="37"/>
      <c r="B20" s="38" t="s">
        <v>41</v>
      </c>
      <c r="C20" s="187">
        <f>Ballast!G39</f>
        <v>521.42598206305024</v>
      </c>
      <c r="D20" s="36" t="s">
        <v>10</v>
      </c>
      <c r="E20" s="186"/>
      <c r="F20" s="350"/>
      <c r="G20" s="25"/>
      <c r="H20" s="380" t="s">
        <v>247</v>
      </c>
      <c r="I20" s="403">
        <f>C18+C19</f>
        <v>0</v>
      </c>
      <c r="J20" s="352" t="s">
        <v>10</v>
      </c>
    </row>
    <row r="21" spans="1:14" x14ac:dyDescent="0.2">
      <c r="A21" s="39"/>
      <c r="B21" s="40" t="s">
        <v>284</v>
      </c>
      <c r="C21" s="188">
        <f>C20-(C18+C19)</f>
        <v>521.42598206305024</v>
      </c>
      <c r="D21" s="41" t="s">
        <v>10</v>
      </c>
      <c r="E21" s="186"/>
      <c r="F21" s="350"/>
      <c r="G21" s="25"/>
      <c r="H21" s="380" t="s">
        <v>245</v>
      </c>
      <c r="I21" s="46">
        <f>(Worksheet!G7-I20)/(Ballast!C38/1000)</f>
        <v>72767.887827342085</v>
      </c>
      <c r="J21" s="352" t="s">
        <v>242</v>
      </c>
    </row>
    <row r="22" spans="1:14" ht="13.5" thickBot="1" x14ac:dyDescent="0.25">
      <c r="A22" s="193"/>
      <c r="B22" s="376" t="s">
        <v>241</v>
      </c>
      <c r="C22" s="377">
        <f>C21</f>
        <v>521.42598206305024</v>
      </c>
      <c r="D22" s="378" t="s">
        <v>10</v>
      </c>
      <c r="E22" s="193"/>
      <c r="F22" s="358"/>
      <c r="G22" s="357"/>
      <c r="H22" s="381" t="s">
        <v>244</v>
      </c>
      <c r="I22" s="390">
        <f>M25+((Ballast!E38/1000)*I21)-I19</f>
        <v>532.4220708329085</v>
      </c>
      <c r="J22" s="382" t="s">
        <v>10</v>
      </c>
      <c r="K22" s="389" t="s">
        <v>249</v>
      </c>
    </row>
    <row r="23" spans="1:14" x14ac:dyDescent="0.2">
      <c r="A23" s="186"/>
      <c r="B23" s="43" t="s">
        <v>38</v>
      </c>
      <c r="C23" s="44" t="s">
        <v>42</v>
      </c>
      <c r="D23" s="36"/>
      <c r="E23" s="85"/>
      <c r="F23" s="349"/>
    </row>
    <row r="24" spans="1:14" x14ac:dyDescent="0.2">
      <c r="A24" s="186"/>
      <c r="B24" s="45" t="s">
        <v>66</v>
      </c>
      <c r="C24" s="45" t="s">
        <v>66</v>
      </c>
      <c r="D24" s="36"/>
      <c r="E24" s="85"/>
      <c r="F24" s="349"/>
    </row>
    <row r="25" spans="1:14" x14ac:dyDescent="0.2">
      <c r="A25" s="46" t="s">
        <v>33</v>
      </c>
      <c r="B25" s="219">
        <v>1</v>
      </c>
      <c r="C25" s="191">
        <f>B25-$C$31</f>
        <v>-24</v>
      </c>
      <c r="D25" s="36"/>
      <c r="E25" s="85" t="str">
        <f>IF(B25&lt;-10,"Error: Check scale position",IF(B25&gt;30, "Error, check scale position",""))</f>
        <v/>
      </c>
      <c r="F25" s="413"/>
      <c r="G25" s="414"/>
      <c r="H25" s="415"/>
      <c r="I25" s="414"/>
      <c r="J25" s="415"/>
      <c r="K25" s="414"/>
      <c r="L25" s="417" t="s">
        <v>283</v>
      </c>
      <c r="M25" s="416">
        <f>I21*10^-3*53.5*10^-6*(Ballast!E32-Ballast!C32)*Ballast!E38</f>
        <v>-110.37850873579116</v>
      </c>
      <c r="N25" s="24" t="s">
        <v>10</v>
      </c>
    </row>
    <row r="26" spans="1:14" x14ac:dyDescent="0.2">
      <c r="A26" s="46" t="s">
        <v>34</v>
      </c>
      <c r="B26" s="219">
        <v>54.75</v>
      </c>
      <c r="C26" s="191">
        <f>B26-$C$31</f>
        <v>29.75</v>
      </c>
      <c r="D26" s="36"/>
      <c r="E26" s="85" t="str">
        <f>IF(B26&lt;20,"Error: Check scale position",IF(B26&gt;70, "Error, check scale position",""))</f>
        <v/>
      </c>
      <c r="F26" s="349"/>
    </row>
    <row r="27" spans="1:14" x14ac:dyDescent="0.2">
      <c r="A27" s="37"/>
      <c r="B27" s="24"/>
      <c r="C27" s="189"/>
      <c r="D27" s="36"/>
      <c r="E27" s="85"/>
      <c r="F27" s="349"/>
    </row>
    <row r="28" spans="1:14" ht="13.5" thickBot="1" x14ac:dyDescent="0.25">
      <c r="A28" s="47"/>
      <c r="B28" s="48" t="s">
        <v>74</v>
      </c>
      <c r="C28" s="180">
        <f>(C18*C25)+(C19*C26)</f>
        <v>0</v>
      </c>
      <c r="D28" s="49" t="s">
        <v>30</v>
      </c>
      <c r="E28" s="85"/>
      <c r="F28" s="349"/>
    </row>
    <row r="29" spans="1:14" ht="13.5" thickBot="1" x14ac:dyDescent="0.25">
      <c r="A29" s="189"/>
      <c r="B29" s="194"/>
      <c r="C29" s="189"/>
      <c r="D29" s="189"/>
      <c r="E29" s="189"/>
      <c r="F29" s="350" t="s">
        <v>81</v>
      </c>
    </row>
    <row r="30" spans="1:14" x14ac:dyDescent="0.2">
      <c r="A30" s="51" t="s">
        <v>36</v>
      </c>
      <c r="B30" s="182"/>
      <c r="C30" s="182"/>
      <c r="D30" s="183"/>
      <c r="E30" s="189"/>
      <c r="F30" s="349" t="s">
        <v>61</v>
      </c>
    </row>
    <row r="31" spans="1:14" x14ac:dyDescent="0.2">
      <c r="A31" s="37"/>
      <c r="B31" s="52" t="s">
        <v>35</v>
      </c>
      <c r="C31" s="74">
        <v>25</v>
      </c>
      <c r="D31" s="195"/>
      <c r="E31" s="189"/>
      <c r="F31" s="349" t="s">
        <v>37</v>
      </c>
    </row>
    <row r="32" spans="1:14" ht="13.5" thickBot="1" x14ac:dyDescent="0.25">
      <c r="A32" s="37"/>
      <c r="B32" s="189"/>
      <c r="C32" s="189"/>
      <c r="D32" s="185"/>
      <c r="E32" s="189"/>
      <c r="F32" s="349" t="s">
        <v>68</v>
      </c>
    </row>
    <row r="33" spans="1:6" x14ac:dyDescent="0.2">
      <c r="A33" s="53" t="s">
        <v>44</v>
      </c>
      <c r="B33" s="53" t="s">
        <v>65</v>
      </c>
      <c r="C33" s="53" t="s">
        <v>67</v>
      </c>
      <c r="D33" s="185"/>
      <c r="E33" s="189"/>
      <c r="F33" s="349" t="s">
        <v>87</v>
      </c>
    </row>
    <row r="34" spans="1:6" ht="13.5" thickBot="1" x14ac:dyDescent="0.25">
      <c r="A34" s="54"/>
      <c r="B34" s="54" t="s">
        <v>66</v>
      </c>
      <c r="C34" s="54" t="s">
        <v>66</v>
      </c>
      <c r="D34" s="185"/>
      <c r="E34" s="189"/>
      <c r="F34" s="349" t="s">
        <v>88</v>
      </c>
    </row>
    <row r="35" spans="1:6" x14ac:dyDescent="0.2">
      <c r="A35" s="206" t="s">
        <v>78</v>
      </c>
      <c r="B35" s="75">
        <v>2</v>
      </c>
      <c r="C35" s="196">
        <f t="shared" ref="C35:C42" si="0">B35-C$31</f>
        <v>-23</v>
      </c>
      <c r="D35" s="185"/>
      <c r="E35" s="189"/>
      <c r="F35" s="349"/>
    </row>
    <row r="36" spans="1:6" x14ac:dyDescent="0.2">
      <c r="A36" s="217" t="s">
        <v>107</v>
      </c>
      <c r="B36" s="76">
        <v>2.125</v>
      </c>
      <c r="C36" s="191">
        <f t="shared" si="0"/>
        <v>-22.875</v>
      </c>
      <c r="D36" s="185"/>
      <c r="E36" s="189"/>
    </row>
    <row r="37" spans="1:6" x14ac:dyDescent="0.2">
      <c r="A37" s="217" t="s">
        <v>161</v>
      </c>
      <c r="B37" s="76">
        <v>19.5</v>
      </c>
      <c r="C37" s="191">
        <f t="shared" si="0"/>
        <v>-5.5</v>
      </c>
      <c r="D37" s="185"/>
      <c r="E37" s="189"/>
      <c r="F37" s="349"/>
    </row>
    <row r="38" spans="1:6" x14ac:dyDescent="0.2">
      <c r="A38" s="217" t="s">
        <v>105</v>
      </c>
      <c r="B38" s="220">
        <v>25.25</v>
      </c>
      <c r="C38" s="191">
        <f t="shared" si="0"/>
        <v>0.25</v>
      </c>
      <c r="D38" s="185"/>
      <c r="E38" s="189"/>
      <c r="F38" s="349"/>
    </row>
    <row r="39" spans="1:6" x14ac:dyDescent="0.2">
      <c r="A39" s="207" t="s">
        <v>43</v>
      </c>
      <c r="B39" s="76">
        <v>29.5</v>
      </c>
      <c r="C39" s="191">
        <f t="shared" si="0"/>
        <v>4.5</v>
      </c>
      <c r="D39" s="185"/>
      <c r="E39" s="189"/>
      <c r="F39" s="349"/>
    </row>
    <row r="40" spans="1:6" x14ac:dyDescent="0.2">
      <c r="A40" s="217" t="s">
        <v>163</v>
      </c>
      <c r="B40" s="77">
        <v>9999</v>
      </c>
      <c r="C40" s="191">
        <f t="shared" si="0"/>
        <v>9974</v>
      </c>
      <c r="D40" s="185"/>
      <c r="E40" s="189"/>
      <c r="F40" s="349"/>
    </row>
    <row r="41" spans="1:6" x14ac:dyDescent="0.2">
      <c r="A41" s="217" t="s">
        <v>106</v>
      </c>
      <c r="B41" s="76">
        <v>35.75</v>
      </c>
      <c r="C41" s="191">
        <f t="shared" si="0"/>
        <v>10.75</v>
      </c>
      <c r="D41" s="185"/>
      <c r="E41" s="189"/>
      <c r="F41" s="349"/>
    </row>
    <row r="42" spans="1:6" ht="13.5" thickBot="1" x14ac:dyDescent="0.25">
      <c r="A42" s="208" t="s">
        <v>31</v>
      </c>
      <c r="B42" s="78">
        <v>55.25</v>
      </c>
      <c r="C42" s="197">
        <f t="shared" si="0"/>
        <v>30.25</v>
      </c>
      <c r="D42" s="198"/>
      <c r="E42" s="189"/>
      <c r="F42" s="349"/>
    </row>
    <row r="43" spans="1:6" ht="13.5" thickBot="1" x14ac:dyDescent="0.25">
      <c r="B43" s="85"/>
      <c r="C43" s="85"/>
      <c r="D43" s="85"/>
      <c r="E43" s="85"/>
      <c r="F43" s="349"/>
    </row>
    <row r="44" spans="1:6" x14ac:dyDescent="0.2">
      <c r="A44" s="51" t="s">
        <v>57</v>
      </c>
      <c r="B44" s="182"/>
      <c r="C44" s="182"/>
      <c r="D44" s="183"/>
      <c r="E44" s="85"/>
      <c r="F44" s="349"/>
    </row>
    <row r="45" spans="1:6" ht="13.5" thickBot="1" x14ac:dyDescent="0.25">
      <c r="A45" s="37"/>
      <c r="B45" s="189"/>
      <c r="C45" s="189"/>
      <c r="D45" s="185"/>
      <c r="E45" s="85"/>
      <c r="F45" s="349"/>
    </row>
    <row r="46" spans="1:6" ht="25.5" x14ac:dyDescent="0.2">
      <c r="A46" s="53" t="s">
        <v>75</v>
      </c>
      <c r="B46" s="53" t="s">
        <v>58</v>
      </c>
      <c r="C46" s="32" t="s">
        <v>51</v>
      </c>
      <c r="D46" s="167" t="s">
        <v>52</v>
      </c>
      <c r="E46" s="204" t="s">
        <v>89</v>
      </c>
      <c r="F46" s="349"/>
    </row>
    <row r="47" spans="1:6" ht="13.5" thickBot="1" x14ac:dyDescent="0.25">
      <c r="A47" s="56" t="s">
        <v>76</v>
      </c>
      <c r="B47" s="54"/>
      <c r="C47" s="57" t="s">
        <v>63</v>
      </c>
      <c r="D47" s="56" t="s">
        <v>64</v>
      </c>
      <c r="E47" s="205" t="s">
        <v>90</v>
      </c>
      <c r="F47" s="349"/>
    </row>
    <row r="48" spans="1:6" x14ac:dyDescent="0.2">
      <c r="A48" s="79">
        <v>1</v>
      </c>
      <c r="B48" s="58" t="str">
        <f t="shared" ref="B48:B53" si="1">A35</f>
        <v>Forward</v>
      </c>
      <c r="C48" s="80">
        <v>0</v>
      </c>
      <c r="D48" s="199">
        <f t="shared" ref="D48:D53" si="2">C35*C48</f>
        <v>0</v>
      </c>
      <c r="E48" s="86"/>
      <c r="F48" s="360" t="str">
        <f t="shared" ref="F48:F56" si="3">IF(ABS(C48)&gt;5000,"Error: Weight adjustment too high","")</f>
        <v/>
      </c>
    </row>
    <row r="49" spans="1:6" x14ac:dyDescent="0.2">
      <c r="A49" s="80">
        <v>0</v>
      </c>
      <c r="B49" s="58" t="str">
        <f t="shared" si="1"/>
        <v>Nose Weights</v>
      </c>
      <c r="C49" s="80">
        <v>0</v>
      </c>
      <c r="D49" s="199">
        <f t="shared" si="2"/>
        <v>0</v>
      </c>
      <c r="E49" s="87"/>
      <c r="F49" s="360" t="str">
        <f t="shared" si="3"/>
        <v/>
      </c>
    </row>
    <row r="50" spans="1:6" x14ac:dyDescent="0.2">
      <c r="A50" s="80">
        <v>1</v>
      </c>
      <c r="B50" s="58" t="str">
        <f t="shared" si="1"/>
        <v>DVL fwd plates</v>
      </c>
      <c r="C50" s="80">
        <v>0</v>
      </c>
      <c r="D50" s="199">
        <f t="shared" si="2"/>
        <v>0</v>
      </c>
      <c r="E50" s="87"/>
      <c r="F50" s="360" t="str">
        <f t="shared" si="3"/>
        <v/>
      </c>
    </row>
    <row r="51" spans="1:6" x14ac:dyDescent="0.2">
      <c r="A51" s="80">
        <v>1</v>
      </c>
      <c r="B51" s="58" t="str">
        <f t="shared" si="1"/>
        <v>Sci fwd plates</v>
      </c>
      <c r="C51" s="80">
        <v>0</v>
      </c>
      <c r="D51" s="199">
        <f t="shared" si="2"/>
        <v>0</v>
      </c>
      <c r="E51" s="87"/>
      <c r="F51" s="360" t="str">
        <f t="shared" si="3"/>
        <v/>
      </c>
    </row>
    <row r="52" spans="1:6" x14ac:dyDescent="0.2">
      <c r="A52" s="80">
        <v>1</v>
      </c>
      <c r="B52" s="58" t="str">
        <f t="shared" si="1"/>
        <v>Center</v>
      </c>
      <c r="C52" s="80">
        <v>0</v>
      </c>
      <c r="D52" s="199">
        <f t="shared" si="2"/>
        <v>0</v>
      </c>
      <c r="E52" s="87"/>
      <c r="F52" s="360" t="str">
        <f t="shared" si="3"/>
        <v/>
      </c>
    </row>
    <row r="53" spans="1:6" x14ac:dyDescent="0.2">
      <c r="A53" s="80">
        <v>0</v>
      </c>
      <c r="B53" s="58" t="str">
        <f t="shared" si="1"/>
        <v>Sci aft disc(unused)</v>
      </c>
      <c r="C53" s="80">
        <v>0</v>
      </c>
      <c r="D53" s="199">
        <f t="shared" si="2"/>
        <v>0</v>
      </c>
      <c r="E53" s="87"/>
      <c r="F53" s="360" t="str">
        <f t="shared" si="3"/>
        <v/>
      </c>
    </row>
    <row r="54" spans="1:6" x14ac:dyDescent="0.2">
      <c r="A54" s="80">
        <v>1</v>
      </c>
      <c r="B54" s="58" t="str">
        <f t="shared" ref="B54:B55" si="4">A41</f>
        <v>Sci aft plates</v>
      </c>
      <c r="C54" s="80">
        <v>0</v>
      </c>
      <c r="D54" s="199">
        <f t="shared" ref="D54:D55" si="5">C41*C54</f>
        <v>0</v>
      </c>
      <c r="E54" s="87"/>
      <c r="F54" s="360" t="str">
        <f t="shared" si="3"/>
        <v/>
      </c>
    </row>
    <row r="55" spans="1:6" ht="13.5" thickBot="1" x14ac:dyDescent="0.25">
      <c r="A55" s="81">
        <v>1</v>
      </c>
      <c r="B55" s="54" t="str">
        <f t="shared" si="4"/>
        <v>Aft</v>
      </c>
      <c r="C55" s="81">
        <v>0</v>
      </c>
      <c r="D55" s="200">
        <f t="shared" si="5"/>
        <v>0</v>
      </c>
      <c r="E55" s="88"/>
      <c r="F55" s="360" t="str">
        <f t="shared" si="3"/>
        <v/>
      </c>
    </row>
    <row r="56" spans="1:6" ht="13.5" thickBot="1" x14ac:dyDescent="0.25">
      <c r="A56" s="193"/>
      <c r="B56" s="201"/>
      <c r="C56" s="180">
        <f>SUM(C48:C55)</f>
        <v>0</v>
      </c>
      <c r="D56" s="202">
        <f>SUM(D48:D55)</f>
        <v>0</v>
      </c>
      <c r="E56" s="85"/>
      <c r="F56" s="360" t="str">
        <f t="shared" si="3"/>
        <v/>
      </c>
    </row>
    <row r="57" spans="1:6" ht="13.5" thickBot="1" x14ac:dyDescent="0.25">
      <c r="A57" s="85"/>
      <c r="B57" s="85"/>
      <c r="C57" s="85"/>
      <c r="D57" s="85"/>
      <c r="E57" s="85"/>
      <c r="F57" s="349"/>
    </row>
    <row r="58" spans="1:6" x14ac:dyDescent="0.2">
      <c r="A58" s="51" t="s">
        <v>59</v>
      </c>
      <c r="B58" s="32"/>
      <c r="C58" s="32"/>
      <c r="D58" s="33"/>
      <c r="E58" s="25"/>
      <c r="F58" s="361"/>
    </row>
    <row r="59" spans="1:6" x14ac:dyDescent="0.2">
      <c r="A59" s="37"/>
      <c r="B59" s="60">
        <f>ABS((C18+C19-C20)+C56)</f>
        <v>521.42598206305024</v>
      </c>
      <c r="C59" s="27" t="str">
        <f>IF(((C18+C19-C20)+C56)&gt;=0,"additional grams need to be removed", "additional grams need to be added")</f>
        <v>additional grams need to be added</v>
      </c>
      <c r="D59" s="36"/>
      <c r="E59" s="25"/>
      <c r="F59" s="350"/>
    </row>
    <row r="60" spans="1:6" x14ac:dyDescent="0.2">
      <c r="A60" s="37"/>
      <c r="B60" s="42">
        <f>ABS((C28+D56)/(B71-B70))</f>
        <v>0</v>
      </c>
      <c r="C60" s="42" t="str">
        <f>CONCATENATE("Grams need to move from ",IF((C28+D56)&lt;=0,INDEX(A35:A42,B67,1),INDEX(A35:A42,B68,1))," to ",IF((C28+D56)&lt;=0,INDEX(A35:A42,B68,1),INDEX(A35:A42,B67,1)))</f>
        <v>Grams need to move from Forward to Aft</v>
      </c>
      <c r="D60" s="36"/>
      <c r="E60" s="25"/>
      <c r="F60" s="350"/>
    </row>
    <row r="61" spans="1:6"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 this:</v>
      </c>
      <c r="D61" s="36"/>
      <c r="E61" s="25"/>
      <c r="F61" s="350" t="s">
        <v>84</v>
      </c>
    </row>
    <row r="62" spans="1:6" ht="13.5"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25"/>
      <c r="F62" s="350" t="s">
        <v>85</v>
      </c>
    </row>
    <row r="63" spans="1:6" x14ac:dyDescent="0.2">
      <c r="A63" s="25"/>
      <c r="B63" s="42"/>
      <c r="C63" s="62"/>
      <c r="D63" s="25"/>
      <c r="E63" s="25"/>
      <c r="F63" s="354"/>
    </row>
    <row r="64" spans="1:6" x14ac:dyDescent="0.2">
      <c r="A64" s="25"/>
      <c r="B64" s="42"/>
      <c r="C64" s="62"/>
      <c r="D64" s="311"/>
      <c r="E64" s="25"/>
      <c r="F64" s="354"/>
    </row>
    <row r="65" spans="1:15" s="3" customFormat="1" x14ac:dyDescent="0.2">
      <c r="A65" s="1"/>
      <c r="B65" s="1"/>
      <c r="C65" s="1"/>
      <c r="D65" s="1"/>
      <c r="E65" s="1"/>
      <c r="F65" s="369"/>
    </row>
    <row r="66" spans="1:15" s="3" customFormat="1" hidden="1" x14ac:dyDescent="0.2">
      <c r="A66" s="4" t="s">
        <v>62</v>
      </c>
      <c r="B66" s="5"/>
      <c r="C66" s="5"/>
      <c r="D66" s="6"/>
      <c r="F66" s="370"/>
    </row>
    <row r="67" spans="1:15" s="3" customFormat="1" hidden="1" x14ac:dyDescent="0.2">
      <c r="A67" s="9"/>
      <c r="B67" s="10">
        <f>IF(A48,1,IF(A49,2,IF(A50,3,IF(A51,4,IF(A52,5,IF(A53,6,IF(A54,7,"Error")))))))</f>
        <v>1</v>
      </c>
      <c r="C67" s="10" t="s">
        <v>53</v>
      </c>
      <c r="D67" s="11"/>
      <c r="F67" s="370"/>
    </row>
    <row r="68" spans="1:15" s="3" customFormat="1" hidden="1" x14ac:dyDescent="0.2">
      <c r="A68" s="9"/>
      <c r="B68" s="10">
        <f>IF(A55,8,IF(A54,7,IF(A53,6,IF(A52,5,IF(A51,4,IF(A50,3,IF(A49,2,"error")))))))</f>
        <v>8</v>
      </c>
      <c r="C68" s="10" t="s">
        <v>54</v>
      </c>
      <c r="D68" s="11"/>
      <c r="F68" s="370"/>
    </row>
    <row r="69" spans="1:15" s="3" customFormat="1" hidden="1" x14ac:dyDescent="0.2">
      <c r="A69" s="12"/>
      <c r="B69" s="10"/>
      <c r="C69" s="10"/>
      <c r="D69" s="13"/>
      <c r="E69" s="14"/>
      <c r="F69" s="14"/>
    </row>
    <row r="70" spans="1:15" s="3" customFormat="1" hidden="1" x14ac:dyDescent="0.2">
      <c r="A70" s="9"/>
      <c r="B70" s="10">
        <f>INDEX(C35:C42,IF(A48,1,IF(A49,2,IF(A50,3,IF(A51,4,IF(A52,5,IF(A53,6,IF(A54,7,"Error"))))))))</f>
        <v>-23</v>
      </c>
      <c r="C70" s="10" t="s">
        <v>55</v>
      </c>
      <c r="D70" s="15"/>
      <c r="E70" s="16"/>
      <c r="F70" s="371"/>
    </row>
    <row r="71" spans="1:15" s="3" customFormat="1" ht="13.5" hidden="1" thickBot="1" x14ac:dyDescent="0.25">
      <c r="A71" s="17"/>
      <c r="B71" s="18">
        <f>INDEX(C35:C42,IF(A55,8,IF(A54,7,IF(A53,6,IF(A52,5,IF(A51,4,IF(A50,3,IF(A49,2,"error"))))))))</f>
        <v>30.25</v>
      </c>
      <c r="C71" s="18" t="s">
        <v>56</v>
      </c>
      <c r="D71" s="19"/>
      <c r="E71" s="16"/>
      <c r="F71" s="371"/>
    </row>
    <row r="72" spans="1:15" x14ac:dyDescent="0.2">
      <c r="A72" s="24"/>
      <c r="B72" s="24"/>
      <c r="C72" s="24"/>
      <c r="D72" s="24"/>
      <c r="E72" s="24"/>
      <c r="F72" s="372"/>
    </row>
    <row r="73" spans="1:15" s="24" customFormat="1" x14ac:dyDescent="0.2">
      <c r="A73" s="29" t="s">
        <v>82</v>
      </c>
      <c r="F73" s="366"/>
    </row>
    <row r="74" spans="1:15" s="69" customFormat="1" ht="30.75" customHeight="1" x14ac:dyDescent="0.2">
      <c r="A74" s="485" t="s">
        <v>83</v>
      </c>
      <c r="B74" s="482"/>
      <c r="C74" s="482"/>
      <c r="D74" s="482"/>
      <c r="E74" s="67"/>
      <c r="F74" s="367"/>
    </row>
    <row r="75" spans="1:15" s="229" customFormat="1" ht="73.5" customHeight="1" x14ac:dyDescent="0.2">
      <c r="A75" s="481" t="s">
        <v>179</v>
      </c>
      <c r="B75" s="482"/>
      <c r="C75" s="482"/>
      <c r="D75" s="482"/>
      <c r="F75" s="368"/>
    </row>
    <row r="76" spans="1:15" s="229" customFormat="1" ht="78" customHeight="1" x14ac:dyDescent="0.2">
      <c r="A76" s="481" t="s">
        <v>180</v>
      </c>
      <c r="B76" s="482"/>
      <c r="C76" s="482"/>
      <c r="D76" s="482"/>
      <c r="F76" s="368"/>
      <c r="H76" s="70"/>
      <c r="I76" s="70"/>
      <c r="J76" s="70"/>
      <c r="K76" s="70"/>
      <c r="L76" s="70"/>
      <c r="M76" s="70"/>
      <c r="N76" s="70"/>
      <c r="O76" s="70"/>
    </row>
    <row r="77" spans="1:15" s="229" customFormat="1" ht="78.75" customHeight="1" x14ac:dyDescent="0.2">
      <c r="A77" s="481" t="s">
        <v>181</v>
      </c>
      <c r="B77" s="482"/>
      <c r="C77" s="482"/>
      <c r="D77" s="482"/>
      <c r="F77" s="368"/>
      <c r="H77" s="70"/>
      <c r="I77" s="70"/>
      <c r="J77" s="70"/>
      <c r="K77" s="70"/>
      <c r="L77" s="70"/>
      <c r="M77" s="70"/>
      <c r="N77" s="70"/>
      <c r="O77" s="70"/>
    </row>
    <row r="78" spans="1:15" s="229" customFormat="1" ht="126" customHeight="1" x14ac:dyDescent="0.2">
      <c r="A78" s="481" t="s">
        <v>182</v>
      </c>
      <c r="B78" s="482"/>
      <c r="C78" s="482"/>
      <c r="D78" s="482"/>
      <c r="F78" s="368"/>
      <c r="H78" s="70"/>
      <c r="I78" s="70"/>
      <c r="J78" s="70"/>
      <c r="K78" s="70"/>
      <c r="L78" s="70"/>
      <c r="M78" s="70"/>
      <c r="N78" s="70"/>
      <c r="O78" s="70"/>
    </row>
    <row r="79" spans="1:15" s="229" customFormat="1" ht="60.75" customHeight="1" x14ac:dyDescent="0.2">
      <c r="A79" s="481" t="s">
        <v>183</v>
      </c>
      <c r="B79" s="482"/>
      <c r="C79" s="482"/>
      <c r="D79" s="482"/>
      <c r="E79" s="70"/>
      <c r="F79" s="368"/>
      <c r="H79" s="70"/>
      <c r="I79" s="70"/>
      <c r="J79" s="70"/>
      <c r="K79" s="70"/>
      <c r="L79" s="70"/>
      <c r="M79" s="70"/>
      <c r="N79" s="70"/>
      <c r="O79" s="70"/>
    </row>
    <row r="80" spans="1:15" ht="34.5" customHeight="1" x14ac:dyDescent="0.2">
      <c r="A80" s="483" t="s">
        <v>86</v>
      </c>
      <c r="B80" s="484"/>
      <c r="C80" s="484"/>
      <c r="D80" s="484"/>
      <c r="E80" s="25"/>
      <c r="F80" s="350"/>
      <c r="G80" s="25"/>
      <c r="H80" s="25"/>
      <c r="I80" s="25"/>
      <c r="J80" s="25"/>
      <c r="K80" s="25"/>
      <c r="L80" s="25"/>
      <c r="M80" s="25"/>
      <c r="N80" s="25"/>
      <c r="O80" s="25"/>
    </row>
    <row r="81" spans="1:15" x14ac:dyDescent="0.2">
      <c r="A81" s="25"/>
      <c r="B81" s="25"/>
      <c r="C81" s="71"/>
      <c r="D81" s="42"/>
      <c r="E81" s="25"/>
      <c r="F81" s="350"/>
      <c r="G81" s="25"/>
      <c r="H81" s="25"/>
      <c r="I81" s="25"/>
      <c r="J81" s="25"/>
      <c r="K81" s="25"/>
      <c r="L81" s="25"/>
      <c r="M81" s="25"/>
      <c r="N81" s="25"/>
      <c r="O81" s="25"/>
    </row>
    <row r="82" spans="1:15" x14ac:dyDescent="0.2">
      <c r="A82" s="25" t="s">
        <v>91</v>
      </c>
      <c r="B82" s="25"/>
      <c r="C82" s="71"/>
      <c r="D82" s="42"/>
      <c r="E82" s="25"/>
      <c r="F82" s="350"/>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O82"/>
  <sheetViews>
    <sheetView tabSelected="1" zoomScaleNormal="100" zoomScaleSheetLayoutView="115" workbookViewId="0">
      <selection activeCell="E10" sqref="E10"/>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90" customWidth="1"/>
    <col min="7" max="16384" width="9.140625" style="21"/>
  </cols>
  <sheetData>
    <row r="1" spans="1:15" customFormat="1" ht="20.25" customHeight="1" x14ac:dyDescent="0.2">
      <c r="A1" s="21"/>
      <c r="B1" s="21"/>
      <c r="C1" s="85"/>
      <c r="D1" s="171" t="s">
        <v>155</v>
      </c>
      <c r="E1" s="172" t="str">
        <f>Ballast!$H$1</f>
        <v>4095-GBPSH</v>
      </c>
      <c r="F1" s="359"/>
      <c r="H1" s="399" t="s">
        <v>250</v>
      </c>
      <c r="I1" s="385"/>
      <c r="J1" s="385"/>
      <c r="K1" s="394"/>
      <c r="L1" s="394"/>
      <c r="M1" s="394"/>
      <c r="N1" s="395"/>
    </row>
    <row r="2" spans="1:15" customFormat="1" ht="20.25" customHeight="1" x14ac:dyDescent="0.2">
      <c r="A2" s="21"/>
      <c r="B2" s="21"/>
      <c r="C2" s="85"/>
      <c r="D2" s="173" t="s">
        <v>156</v>
      </c>
      <c r="E2" s="174" t="str">
        <f>Ballast!$H$2</f>
        <v>F</v>
      </c>
      <c r="F2" s="359"/>
      <c r="H2" s="396"/>
      <c r="I2" s="392"/>
      <c r="J2" s="353"/>
      <c r="K2" s="353"/>
      <c r="L2" s="393" t="s">
        <v>255</v>
      </c>
      <c r="M2" s="388"/>
      <c r="N2" s="352" t="s">
        <v>10</v>
      </c>
      <c r="O2" s="400" t="s">
        <v>256</v>
      </c>
    </row>
    <row r="3" spans="1:15" customFormat="1" ht="20.25" customHeight="1" x14ac:dyDescent="0.2">
      <c r="A3" s="21"/>
      <c r="B3" s="21"/>
      <c r="C3" s="85"/>
      <c r="D3" s="173" t="s">
        <v>1</v>
      </c>
      <c r="E3" s="175">
        <f>Ballast!$H$3</f>
        <v>41813</v>
      </c>
      <c r="F3" s="359"/>
      <c r="H3" s="391"/>
      <c r="I3" s="350"/>
      <c r="J3" s="25"/>
      <c r="K3" s="25"/>
      <c r="L3" s="351" t="s">
        <v>252</v>
      </c>
      <c r="M3" s="388"/>
      <c r="N3" s="352" t="s">
        <v>10</v>
      </c>
      <c r="O3" s="400" t="s">
        <v>257</v>
      </c>
    </row>
    <row r="4" spans="1:15" customFormat="1" ht="20.25" customHeight="1" thickBot="1" x14ac:dyDescent="0.25">
      <c r="A4" s="21"/>
      <c r="B4" s="21"/>
      <c r="C4" s="85"/>
      <c r="D4" s="176" t="s">
        <v>157</v>
      </c>
      <c r="E4" s="177">
        <f>Ballast!$H$4</f>
        <v>12698</v>
      </c>
      <c r="F4" s="359"/>
      <c r="H4" s="391"/>
      <c r="I4" s="350"/>
      <c r="J4" s="25"/>
      <c r="K4" s="25"/>
      <c r="L4" s="354"/>
      <c r="M4" s="25"/>
      <c r="N4" s="36"/>
      <c r="O4" s="400"/>
    </row>
    <row r="5" spans="1:15" customFormat="1" ht="15" customHeight="1" thickBot="1" x14ac:dyDescent="0.25">
      <c r="A5" s="21"/>
      <c r="B5" s="21"/>
      <c r="C5" s="85"/>
      <c r="D5" s="85"/>
      <c r="E5" s="85"/>
      <c r="F5" s="359"/>
      <c r="H5" s="391"/>
      <c r="I5" s="350"/>
      <c r="J5" s="25"/>
      <c r="K5" s="25"/>
      <c r="L5" s="351" t="s">
        <v>251</v>
      </c>
      <c r="M5" s="402"/>
      <c r="N5" s="352" t="s">
        <v>243</v>
      </c>
      <c r="O5" s="400" t="s">
        <v>317</v>
      </c>
    </row>
    <row r="6" spans="1:15" customFormat="1" ht="15" customHeight="1" thickTop="1" thickBot="1" x14ac:dyDescent="0.25">
      <c r="A6" s="209"/>
      <c r="B6" s="209"/>
      <c r="C6" s="181"/>
      <c r="D6" s="181"/>
      <c r="E6" s="181"/>
      <c r="F6" s="359"/>
      <c r="H6" s="37"/>
      <c r="I6" s="350"/>
      <c r="J6" s="25"/>
      <c r="K6" s="25"/>
      <c r="L6" s="351" t="s">
        <v>237</v>
      </c>
      <c r="M6" s="402"/>
      <c r="N6" s="352" t="s">
        <v>224</v>
      </c>
      <c r="O6" s="400" t="s">
        <v>318</v>
      </c>
    </row>
    <row r="7" spans="1:15" x14ac:dyDescent="0.2">
      <c r="A7" s="168" t="s">
        <v>29</v>
      </c>
      <c r="B7" s="239" t="str">
        <f>IF(ISBLANK(Ballast!C13),"",Ballast!C13)</f>
        <v>631</v>
      </c>
      <c r="C7" s="85"/>
      <c r="D7" s="85"/>
      <c r="E7" s="85"/>
      <c r="F7" s="349"/>
      <c r="H7" s="37"/>
      <c r="I7" s="350"/>
      <c r="J7" s="25"/>
      <c r="K7" s="25"/>
      <c r="L7" s="351" t="s">
        <v>239</v>
      </c>
      <c r="M7" s="402">
        <v>0</v>
      </c>
      <c r="N7" s="352" t="s">
        <v>253</v>
      </c>
      <c r="O7" s="401" t="s">
        <v>259</v>
      </c>
    </row>
    <row r="8" spans="1:15" ht="13.5" thickBot="1" x14ac:dyDescent="0.25">
      <c r="A8" s="169" t="s">
        <v>1</v>
      </c>
      <c r="B8" s="240">
        <f>IF(ISBLANK(Ballast!C15),"",Ballast!C15)</f>
        <v>44397</v>
      </c>
      <c r="C8" s="85"/>
      <c r="D8" s="85"/>
      <c r="E8" s="85"/>
      <c r="F8" s="349"/>
      <c r="H8" s="37"/>
      <c r="I8" s="350"/>
      <c r="J8" s="25"/>
      <c r="K8" s="25"/>
      <c r="L8" s="351" t="s">
        <v>238</v>
      </c>
      <c r="M8" s="402">
        <v>0</v>
      </c>
      <c r="N8" s="352" t="s">
        <v>253</v>
      </c>
      <c r="O8" s="401" t="s">
        <v>259</v>
      </c>
    </row>
    <row r="9" spans="1:15" x14ac:dyDescent="0.2">
      <c r="A9" s="230"/>
      <c r="B9" s="231"/>
      <c r="C9" s="85"/>
      <c r="D9" s="85"/>
      <c r="E9" s="85"/>
      <c r="F9" s="349"/>
      <c r="H9" s="37"/>
      <c r="I9" s="25"/>
      <c r="J9" s="25"/>
      <c r="K9" s="25"/>
      <c r="L9" s="351" t="s">
        <v>240</v>
      </c>
      <c r="M9" s="46">
        <f>AVERAGE(M7:M8)</f>
        <v>0</v>
      </c>
      <c r="N9" s="352" t="s">
        <v>253</v>
      </c>
      <c r="O9" s="401" t="s">
        <v>260</v>
      </c>
    </row>
    <row r="10" spans="1:15" x14ac:dyDescent="0.2">
      <c r="A10" s="230"/>
      <c r="B10" s="231"/>
      <c r="C10" s="85"/>
      <c r="D10" s="85"/>
      <c r="E10" s="85"/>
      <c r="F10" s="349"/>
      <c r="H10" s="37"/>
      <c r="I10" s="25"/>
      <c r="J10" s="25"/>
      <c r="K10" s="25"/>
      <c r="L10" s="25"/>
      <c r="M10" s="25"/>
      <c r="N10" s="36"/>
      <c r="O10" s="401"/>
    </row>
    <row r="11" spans="1:15" ht="13.5" thickBot="1" x14ac:dyDescent="0.25">
      <c r="A11" s="230"/>
      <c r="B11" s="231"/>
      <c r="C11" s="85"/>
      <c r="D11" s="85"/>
      <c r="E11" s="85"/>
      <c r="F11" s="349"/>
      <c r="H11" s="47"/>
      <c r="I11" s="357"/>
      <c r="J11" s="357"/>
      <c r="K11" s="357"/>
      <c r="L11" s="398" t="s">
        <v>254</v>
      </c>
      <c r="M11" s="397">
        <f>-M9</f>
        <v>0</v>
      </c>
      <c r="N11" s="55"/>
      <c r="O11" s="401" t="s">
        <v>258</v>
      </c>
    </row>
    <row r="12" spans="1:15" x14ac:dyDescent="0.2">
      <c r="A12" s="230"/>
      <c r="B12" s="231"/>
      <c r="C12" s="85"/>
      <c r="D12" s="85"/>
      <c r="E12" s="85"/>
      <c r="F12" s="349"/>
    </row>
    <row r="13" spans="1:15" x14ac:dyDescent="0.2">
      <c r="A13" s="230"/>
      <c r="B13" s="231"/>
      <c r="C13" s="85"/>
      <c r="D13" s="85"/>
      <c r="E13" s="85"/>
      <c r="F13" s="349"/>
    </row>
    <row r="14" spans="1:15" x14ac:dyDescent="0.2">
      <c r="A14" s="230"/>
      <c r="B14" s="231"/>
      <c r="C14" s="85"/>
      <c r="D14" s="85"/>
      <c r="E14" s="85"/>
      <c r="F14" s="349"/>
    </row>
    <row r="15" spans="1:15" x14ac:dyDescent="0.2">
      <c r="A15" s="480" t="s">
        <v>173</v>
      </c>
      <c r="B15" s="480"/>
      <c r="C15" s="480"/>
      <c r="D15" s="480"/>
      <c r="E15" s="85"/>
      <c r="F15" s="349"/>
    </row>
    <row r="16" spans="1:15" ht="13.5" thickBot="1" x14ac:dyDescent="0.25">
      <c r="A16" s="30"/>
      <c r="C16" s="85"/>
      <c r="D16" s="85"/>
      <c r="E16" s="85"/>
      <c r="F16" s="349"/>
    </row>
    <row r="17" spans="1:14" ht="13.5" thickBot="1" x14ac:dyDescent="0.25">
      <c r="A17" s="31" t="s">
        <v>60</v>
      </c>
      <c r="B17" s="32"/>
      <c r="C17" s="182"/>
      <c r="D17" s="183"/>
      <c r="E17" s="85"/>
      <c r="F17" s="349"/>
    </row>
    <row r="18" spans="1:14" x14ac:dyDescent="0.2">
      <c r="A18" s="34"/>
      <c r="B18" s="35" t="s">
        <v>39</v>
      </c>
      <c r="C18" s="72">
        <v>236</v>
      </c>
      <c r="D18" s="36" t="s">
        <v>10</v>
      </c>
      <c r="E18" s="383" t="s">
        <v>248</v>
      </c>
      <c r="F18" s="384"/>
      <c r="G18" s="385"/>
      <c r="H18" s="386"/>
      <c r="I18" s="385"/>
      <c r="J18" s="387"/>
    </row>
    <row r="19" spans="1:14" x14ac:dyDescent="0.2">
      <c r="A19" s="37"/>
      <c r="B19" s="38" t="s">
        <v>40</v>
      </c>
      <c r="C19" s="72">
        <v>191</v>
      </c>
      <c r="D19" s="36" t="s">
        <v>10</v>
      </c>
      <c r="E19" s="379" t="str">
        <f>IF(C19&gt;5000,"Error: scale reading too high",IF(C19&lt;0,"Error: scale reading should be positive",""))</f>
        <v/>
      </c>
      <c r="F19" s="350"/>
      <c r="G19" s="25"/>
      <c r="H19" s="380" t="s">
        <v>246</v>
      </c>
      <c r="I19" s="46">
        <f>Worksheet!G7</f>
        <v>74109</v>
      </c>
      <c r="J19" s="352" t="s">
        <v>10</v>
      </c>
    </row>
    <row r="20" spans="1:14" x14ac:dyDescent="0.2">
      <c r="A20" s="37"/>
      <c r="B20" s="38" t="s">
        <v>41</v>
      </c>
      <c r="C20" s="187">
        <f>Ballast!G39</f>
        <v>521.42598206305024</v>
      </c>
      <c r="D20" s="36" t="s">
        <v>10</v>
      </c>
      <c r="E20" s="186"/>
      <c r="F20" s="350"/>
      <c r="G20" s="25"/>
      <c r="H20" s="380" t="s">
        <v>247</v>
      </c>
      <c r="I20" s="403">
        <f>C18+C19</f>
        <v>427</v>
      </c>
      <c r="J20" s="352" t="s">
        <v>10</v>
      </c>
    </row>
    <row r="21" spans="1:14" x14ac:dyDescent="0.2">
      <c r="A21" s="39"/>
      <c r="B21" s="40" t="s">
        <v>284</v>
      </c>
      <c r="C21" s="188">
        <f>C20-(C18+C19)</f>
        <v>94.425982063050242</v>
      </c>
      <c r="D21" s="41" t="s">
        <v>10</v>
      </c>
      <c r="E21" s="186"/>
      <c r="F21" s="350"/>
      <c r="G21" s="25"/>
      <c r="H21" s="380" t="s">
        <v>245</v>
      </c>
      <c r="I21" s="46">
        <f>(Worksheet!G7-I20)/(Ballast!C38/1000)</f>
        <v>72348.615025087638</v>
      </c>
      <c r="J21" s="352" t="s">
        <v>242</v>
      </c>
    </row>
    <row r="22" spans="1:14" ht="13.5" thickBot="1" x14ac:dyDescent="0.25">
      <c r="A22" s="193"/>
      <c r="B22" s="376" t="s">
        <v>241</v>
      </c>
      <c r="C22" s="377">
        <f>C21</f>
        <v>94.425982063050242</v>
      </c>
      <c r="D22" s="378" t="s">
        <v>10</v>
      </c>
      <c r="E22" s="193"/>
      <c r="F22" s="358"/>
      <c r="G22" s="357"/>
      <c r="H22" s="381" t="s">
        <v>244</v>
      </c>
      <c r="I22" s="390">
        <f>M25+((Ballast!E38/1000)*I21)-I19</f>
        <v>102.35437022644328</v>
      </c>
      <c r="J22" s="382" t="s">
        <v>10</v>
      </c>
      <c r="K22" s="389" t="s">
        <v>249</v>
      </c>
    </row>
    <row r="23" spans="1:14" x14ac:dyDescent="0.2">
      <c r="A23" s="186"/>
      <c r="B23" s="43" t="s">
        <v>38</v>
      </c>
      <c r="C23" s="44" t="s">
        <v>42</v>
      </c>
      <c r="D23" s="36"/>
      <c r="E23" s="85"/>
      <c r="F23" s="349"/>
    </row>
    <row r="24" spans="1:14" x14ac:dyDescent="0.2">
      <c r="A24" s="186"/>
      <c r="B24" s="45" t="s">
        <v>66</v>
      </c>
      <c r="C24" s="45" t="s">
        <v>66</v>
      </c>
      <c r="D24" s="36"/>
      <c r="E24" s="85"/>
      <c r="F24" s="373"/>
    </row>
    <row r="25" spans="1:14" x14ac:dyDescent="0.2">
      <c r="A25" s="46" t="s">
        <v>33</v>
      </c>
      <c r="B25" s="219">
        <v>1</v>
      </c>
      <c r="C25" s="191">
        <f>B25-$C$31</f>
        <v>-27</v>
      </c>
      <c r="D25" s="36"/>
      <c r="E25" s="85" t="str">
        <f>IF(B25&lt;-10,"Error: Check scale position",IF(B25&gt;30, "Error, check scale position",""))</f>
        <v/>
      </c>
      <c r="F25" s="413"/>
      <c r="G25" s="414"/>
      <c r="H25" s="415"/>
      <c r="I25" s="414"/>
      <c r="J25" s="415"/>
      <c r="K25" s="414"/>
      <c r="L25" s="417" t="s">
        <v>283</v>
      </c>
      <c r="M25" s="416">
        <f>I21*10^-3*53.5*10^-6*(Ballast!E32-Ballast!C32)*Ballast!E38</f>
        <v>-109.74253168536296</v>
      </c>
      <c r="N25" s="24" t="s">
        <v>10</v>
      </c>
    </row>
    <row r="26" spans="1:14" x14ac:dyDescent="0.2">
      <c r="A26" s="46" t="s">
        <v>34</v>
      </c>
      <c r="B26" s="219">
        <v>63</v>
      </c>
      <c r="C26" s="191">
        <f>B26-$C$31</f>
        <v>35</v>
      </c>
      <c r="D26" s="36"/>
      <c r="E26" s="85" t="str">
        <f>IF(B26&lt;20,"Error: Check scale position",IF(B26&gt;70, "Error, check scale position",""))</f>
        <v/>
      </c>
      <c r="F26" s="349"/>
    </row>
    <row r="27" spans="1:14" x14ac:dyDescent="0.2">
      <c r="A27" s="37"/>
      <c r="B27" s="24"/>
      <c r="C27" s="189"/>
      <c r="D27" s="36"/>
      <c r="E27" s="85"/>
      <c r="F27" s="349"/>
    </row>
    <row r="28" spans="1:14" ht="13.5" thickBot="1" x14ac:dyDescent="0.25">
      <c r="A28" s="47"/>
      <c r="B28" s="48" t="s">
        <v>74</v>
      </c>
      <c r="C28" s="180">
        <f>(C18*C25)+(C19*C26)</f>
        <v>313</v>
      </c>
      <c r="D28" s="49" t="s">
        <v>30</v>
      </c>
      <c r="E28" s="85"/>
      <c r="F28" s="349"/>
    </row>
    <row r="29" spans="1:14" ht="13.5" thickBot="1" x14ac:dyDescent="0.25">
      <c r="A29" s="189"/>
      <c r="B29" s="194"/>
      <c r="C29" s="189"/>
      <c r="D29" s="189"/>
      <c r="E29" s="189"/>
      <c r="F29" s="350" t="s">
        <v>81</v>
      </c>
    </row>
    <row r="30" spans="1:14" x14ac:dyDescent="0.2">
      <c r="A30" s="51" t="s">
        <v>36</v>
      </c>
      <c r="B30" s="182"/>
      <c r="C30" s="182"/>
      <c r="D30" s="183"/>
      <c r="E30" s="189"/>
      <c r="F30" s="349" t="s">
        <v>61</v>
      </c>
    </row>
    <row r="31" spans="1:14" x14ac:dyDescent="0.2">
      <c r="A31" s="37"/>
      <c r="B31" s="52" t="s">
        <v>35</v>
      </c>
      <c r="C31" s="74">
        <v>28</v>
      </c>
      <c r="D31" s="195"/>
      <c r="E31" s="189"/>
      <c r="F31" s="349" t="s">
        <v>37</v>
      </c>
    </row>
    <row r="32" spans="1:14" ht="13.5" thickBot="1" x14ac:dyDescent="0.25">
      <c r="A32" s="37"/>
      <c r="B32" s="189"/>
      <c r="C32" s="189"/>
      <c r="D32" s="185"/>
      <c r="E32" s="189"/>
      <c r="F32" s="349" t="s">
        <v>68</v>
      </c>
    </row>
    <row r="33" spans="1:6" x14ac:dyDescent="0.2">
      <c r="A33" s="53" t="s">
        <v>44</v>
      </c>
      <c r="B33" s="53" t="s">
        <v>65</v>
      </c>
      <c r="C33" s="53" t="s">
        <v>67</v>
      </c>
      <c r="D33" s="185"/>
      <c r="E33" s="189"/>
      <c r="F33" s="349" t="s">
        <v>87</v>
      </c>
    </row>
    <row r="34" spans="1:6" ht="13.5" thickBot="1" x14ac:dyDescent="0.25">
      <c r="A34" s="54"/>
      <c r="B34" s="54" t="s">
        <v>66</v>
      </c>
      <c r="C34" s="54" t="s">
        <v>66</v>
      </c>
      <c r="D34" s="185"/>
      <c r="E34" s="189"/>
      <c r="F34" s="349" t="s">
        <v>88</v>
      </c>
    </row>
    <row r="35" spans="1:6" x14ac:dyDescent="0.2">
      <c r="A35" s="206" t="s">
        <v>78</v>
      </c>
      <c r="B35" s="75">
        <v>2</v>
      </c>
      <c r="C35" s="196">
        <f t="shared" ref="C35:C42" si="0">B35-C$31</f>
        <v>-26</v>
      </c>
      <c r="D35" s="185"/>
      <c r="E35" s="189"/>
      <c r="F35" s="349"/>
    </row>
    <row r="36" spans="1:6" x14ac:dyDescent="0.2">
      <c r="A36" s="217" t="s">
        <v>107</v>
      </c>
      <c r="B36" s="76">
        <v>2.125</v>
      </c>
      <c r="C36" s="191">
        <f t="shared" si="0"/>
        <v>-25.875</v>
      </c>
      <c r="D36" s="185"/>
      <c r="E36" s="189"/>
    </row>
    <row r="37" spans="1:6" x14ac:dyDescent="0.2">
      <c r="A37" s="217" t="s">
        <v>171</v>
      </c>
      <c r="B37" s="76">
        <v>19.5</v>
      </c>
      <c r="C37" s="191">
        <f t="shared" si="0"/>
        <v>-8.5</v>
      </c>
      <c r="D37" s="185"/>
      <c r="E37" s="189"/>
      <c r="F37" s="349"/>
    </row>
    <row r="38" spans="1:6" x14ac:dyDescent="0.2">
      <c r="A38" s="217" t="s">
        <v>105</v>
      </c>
      <c r="B38" s="220">
        <v>34.35</v>
      </c>
      <c r="C38" s="191">
        <f t="shared" si="0"/>
        <v>6.3500000000000014</v>
      </c>
      <c r="D38" s="185"/>
      <c r="E38" s="189"/>
      <c r="F38" s="349"/>
    </row>
    <row r="39" spans="1:6" x14ac:dyDescent="0.2">
      <c r="A39" s="207" t="s">
        <v>43</v>
      </c>
      <c r="B39" s="76">
        <v>38.6</v>
      </c>
      <c r="C39" s="191">
        <f t="shared" si="0"/>
        <v>10.600000000000001</v>
      </c>
      <c r="D39" s="185"/>
      <c r="E39" s="189"/>
      <c r="F39" s="349"/>
    </row>
    <row r="40" spans="1:6" x14ac:dyDescent="0.2">
      <c r="A40" s="217" t="s">
        <v>163</v>
      </c>
      <c r="B40" s="77">
        <v>9999</v>
      </c>
      <c r="C40" s="191">
        <f t="shared" si="0"/>
        <v>9971</v>
      </c>
      <c r="D40" s="185"/>
      <c r="E40" s="189"/>
      <c r="F40" s="349"/>
    </row>
    <row r="41" spans="1:6" x14ac:dyDescent="0.2">
      <c r="A41" s="217" t="s">
        <v>106</v>
      </c>
      <c r="B41" s="76">
        <v>44.85</v>
      </c>
      <c r="C41" s="191">
        <f t="shared" si="0"/>
        <v>16.850000000000001</v>
      </c>
      <c r="D41" s="185"/>
      <c r="E41" s="189"/>
      <c r="F41" s="349"/>
    </row>
    <row r="42" spans="1:6" ht="13.5" thickBot="1" x14ac:dyDescent="0.25">
      <c r="A42" s="208" t="s">
        <v>31</v>
      </c>
      <c r="B42" s="78">
        <v>64.349999999999994</v>
      </c>
      <c r="C42" s="197">
        <f t="shared" si="0"/>
        <v>36.349999999999994</v>
      </c>
      <c r="D42" s="198"/>
      <c r="E42" s="189"/>
      <c r="F42" s="349"/>
    </row>
    <row r="43" spans="1:6" ht="13.5" thickBot="1" x14ac:dyDescent="0.25">
      <c r="B43" s="85"/>
      <c r="C43" s="85"/>
      <c r="D43" s="85"/>
      <c r="E43" s="85"/>
      <c r="F43" s="349"/>
    </row>
    <row r="44" spans="1:6" x14ac:dyDescent="0.2">
      <c r="A44" s="51" t="s">
        <v>57</v>
      </c>
      <c r="B44" s="182"/>
      <c r="C44" s="182"/>
      <c r="D44" s="183"/>
      <c r="E44" s="85"/>
      <c r="F44" s="349"/>
    </row>
    <row r="45" spans="1:6" ht="13.5" thickBot="1" x14ac:dyDescent="0.25">
      <c r="A45" s="37"/>
      <c r="B45" s="189"/>
      <c r="C45" s="189"/>
      <c r="D45" s="185"/>
      <c r="E45" s="85"/>
      <c r="F45" s="349"/>
    </row>
    <row r="46" spans="1:6" ht="25.5" x14ac:dyDescent="0.2">
      <c r="A46" s="53" t="s">
        <v>75</v>
      </c>
      <c r="B46" s="53" t="s">
        <v>58</v>
      </c>
      <c r="C46" s="32" t="s">
        <v>51</v>
      </c>
      <c r="D46" s="167" t="s">
        <v>52</v>
      </c>
      <c r="E46" s="204" t="s">
        <v>89</v>
      </c>
      <c r="F46" s="349"/>
    </row>
    <row r="47" spans="1:6" ht="13.5" thickBot="1" x14ac:dyDescent="0.25">
      <c r="A47" s="56" t="s">
        <v>76</v>
      </c>
      <c r="B47" s="54"/>
      <c r="C47" s="57" t="s">
        <v>63</v>
      </c>
      <c r="D47" s="56" t="s">
        <v>64</v>
      </c>
      <c r="E47" s="205" t="s">
        <v>90</v>
      </c>
      <c r="F47" s="349"/>
    </row>
    <row r="48" spans="1:6" x14ac:dyDescent="0.2">
      <c r="A48" s="79">
        <v>1</v>
      </c>
      <c r="B48" s="58" t="str">
        <f t="shared" ref="B48:B55" si="1">A35</f>
        <v>Forward</v>
      </c>
      <c r="C48" s="80">
        <v>0</v>
      </c>
      <c r="D48" s="199">
        <f t="shared" ref="D48:D55" si="2">C35*C48</f>
        <v>0</v>
      </c>
      <c r="E48" s="86"/>
      <c r="F48" s="360" t="str">
        <f t="shared" ref="F48:F56" si="3">IF(ABS(C48)&gt;5000,"Error: Weight adjustment too high","")</f>
        <v/>
      </c>
    </row>
    <row r="49" spans="1:6" x14ac:dyDescent="0.2">
      <c r="A49" s="80">
        <v>0</v>
      </c>
      <c r="B49" s="58" t="str">
        <f t="shared" si="1"/>
        <v>Nose Weights</v>
      </c>
      <c r="C49" s="80">
        <v>0</v>
      </c>
      <c r="D49" s="199">
        <f t="shared" si="2"/>
        <v>0</v>
      </c>
      <c r="E49" s="87"/>
      <c r="F49" s="360" t="str">
        <f t="shared" si="3"/>
        <v/>
      </c>
    </row>
    <row r="50" spans="1:6" x14ac:dyDescent="0.2">
      <c r="A50" s="80">
        <v>1</v>
      </c>
      <c r="B50" s="58" t="str">
        <f t="shared" si="1"/>
        <v>Energy Bay fwd plates</v>
      </c>
      <c r="C50" s="80">
        <v>0</v>
      </c>
      <c r="D50" s="199">
        <f t="shared" si="2"/>
        <v>0</v>
      </c>
      <c r="E50" s="87"/>
      <c r="F50" s="360" t="str">
        <f t="shared" si="3"/>
        <v/>
      </c>
    </row>
    <row r="51" spans="1:6" x14ac:dyDescent="0.2">
      <c r="A51" s="80">
        <v>1</v>
      </c>
      <c r="B51" s="58" t="str">
        <f t="shared" si="1"/>
        <v>Sci fwd plates</v>
      </c>
      <c r="C51" s="80">
        <v>0</v>
      </c>
      <c r="D51" s="199">
        <f t="shared" si="2"/>
        <v>0</v>
      </c>
      <c r="E51" s="87"/>
      <c r="F51" s="360" t="str">
        <f t="shared" si="3"/>
        <v/>
      </c>
    </row>
    <row r="52" spans="1:6" x14ac:dyDescent="0.2">
      <c r="A52" s="80">
        <v>1</v>
      </c>
      <c r="B52" s="58" t="str">
        <f t="shared" si="1"/>
        <v>Center</v>
      </c>
      <c r="C52" s="80">
        <v>0</v>
      </c>
      <c r="D52" s="199">
        <f t="shared" si="2"/>
        <v>0</v>
      </c>
      <c r="E52" s="87"/>
      <c r="F52" s="360" t="str">
        <f t="shared" si="3"/>
        <v/>
      </c>
    </row>
    <row r="53" spans="1:6" x14ac:dyDescent="0.2">
      <c r="A53" s="80">
        <v>0</v>
      </c>
      <c r="B53" s="58" t="str">
        <f t="shared" si="1"/>
        <v>Sci aft disc(unused)</v>
      </c>
      <c r="C53" s="80">
        <v>0</v>
      </c>
      <c r="D53" s="199">
        <f t="shared" si="2"/>
        <v>0</v>
      </c>
      <c r="E53" s="87"/>
      <c r="F53" s="360" t="str">
        <f t="shared" si="3"/>
        <v/>
      </c>
    </row>
    <row r="54" spans="1:6" x14ac:dyDescent="0.2">
      <c r="A54" s="80">
        <v>1</v>
      </c>
      <c r="B54" s="58" t="str">
        <f t="shared" si="1"/>
        <v>Sci aft plates</v>
      </c>
      <c r="C54" s="80">
        <v>0</v>
      </c>
      <c r="D54" s="199">
        <f t="shared" si="2"/>
        <v>0</v>
      </c>
      <c r="E54" s="87"/>
      <c r="F54" s="360" t="str">
        <f t="shared" si="3"/>
        <v/>
      </c>
    </row>
    <row r="55" spans="1:6" ht="13.5" thickBot="1" x14ac:dyDescent="0.25">
      <c r="A55" s="81">
        <v>1</v>
      </c>
      <c r="B55" s="54" t="str">
        <f t="shared" si="1"/>
        <v>Aft</v>
      </c>
      <c r="C55" s="81">
        <v>0</v>
      </c>
      <c r="D55" s="200">
        <f t="shared" si="2"/>
        <v>0</v>
      </c>
      <c r="E55" s="88"/>
      <c r="F55" s="360" t="str">
        <f t="shared" si="3"/>
        <v/>
      </c>
    </row>
    <row r="56" spans="1:6" ht="13.5" thickBot="1" x14ac:dyDescent="0.25">
      <c r="A56" s="193"/>
      <c r="B56" s="201"/>
      <c r="C56" s="180">
        <f>SUM(C48:C55)</f>
        <v>0</v>
      </c>
      <c r="D56" s="202">
        <f>SUM(D48:D55)</f>
        <v>0</v>
      </c>
      <c r="E56" s="85"/>
      <c r="F56" s="360" t="str">
        <f t="shared" si="3"/>
        <v/>
      </c>
    </row>
    <row r="57" spans="1:6" ht="13.5" thickBot="1" x14ac:dyDescent="0.25">
      <c r="A57" s="85"/>
      <c r="B57" s="85"/>
      <c r="C57" s="85"/>
      <c r="D57" s="85"/>
      <c r="E57" s="85"/>
      <c r="F57" s="349"/>
    </row>
    <row r="58" spans="1:6" x14ac:dyDescent="0.2">
      <c r="A58" s="51" t="s">
        <v>59</v>
      </c>
      <c r="B58" s="32"/>
      <c r="C58" s="32"/>
      <c r="D58" s="33"/>
      <c r="E58" s="25"/>
      <c r="F58" s="361"/>
    </row>
    <row r="59" spans="1:6" x14ac:dyDescent="0.2">
      <c r="A59" s="37"/>
      <c r="B59" s="60">
        <f>ABS((C18+C19-C20)+C56)</f>
        <v>94.425982063050242</v>
      </c>
      <c r="C59" s="27" t="str">
        <f>IF(((C18+C19-C20)+C56)&gt;=0,"additional grams need to be removed", "additional grams need to be added")</f>
        <v>additional grams need to be added</v>
      </c>
      <c r="D59" s="36"/>
      <c r="E59" s="25"/>
      <c r="F59" s="350"/>
    </row>
    <row r="60" spans="1:6" x14ac:dyDescent="0.2">
      <c r="A60" s="37"/>
      <c r="B60" s="42">
        <f>ABS((C28+D56)/(B71-B70))</f>
        <v>5.0200481154771452</v>
      </c>
      <c r="C60" s="42" t="str">
        <f>CONCATENATE("Grams need to move from ",IF((C28+D56)&lt;=0,INDEX(A35:A42,B67,1),INDEX(A35:A42,B68,1))," to ",IF((C28+D56)&lt;=0,INDEX(A35:A42,B68,1),INDEX(A35:A42,B67,1)))</f>
        <v>Grams need to move from Aft to Forward</v>
      </c>
      <c r="D60" s="36"/>
      <c r="E60" s="25"/>
      <c r="F60" s="350"/>
    </row>
    <row r="61" spans="1:6" x14ac:dyDescent="0.2">
      <c r="A61" s="37"/>
      <c r="B61" s="42">
        <f>INDEX(C48:C55,IF(A48,1,IF(A49,2,IF(A50,3,IF(A51,4,IF(A52,5,IF(A53,6,IF(A54,7,"Error"))))))))+(C28+D56)/(INDEX(C35:C42,IF(A55,8,IF(A54,7,IF(A53,6,IF(A52,5,IF(A51,4,IF(A50,3,IF(A49,2,"error"))))))))-INDEX(C35:C42,IF(A48,1,IF(A49,2,IF(A50,3,IF(A51,4,IF(A52,5,IF(A53,6,IF(A54,7,"Error")))))))))</f>
        <v>5.0200481154771452</v>
      </c>
      <c r="C61" s="62" t="str">
        <f>CONCATENATE("Change ",INDEX(A35:A42,B67,1)," to this:")</f>
        <v>Change Forward to this:</v>
      </c>
      <c r="D61" s="36"/>
      <c r="E61" s="25"/>
      <c r="F61" s="350" t="s">
        <v>84</v>
      </c>
    </row>
    <row r="62" spans="1:6" ht="13.5" thickBot="1" x14ac:dyDescent="0.25">
      <c r="A62" s="47"/>
      <c r="B62" s="63">
        <f>INDEX(C48:C55,IF(A55,8,IF(A54,7,IF(A53,6,IF(A52,5,IF(A51,4,IF(A50,3,IF(A49,2,"error"))))))))-((C28+D56)/(INDEX(C35:C42,IF(A55,8,IF(A54,7,IF(A53,6,IF(A52,5,IF(A51,4,IF(A50,3,IF(A49,2,"error"))))))))-INDEX(C35:C42,IF(A48,1,IF(A49,2,IF(A50,3,IF(A51,4,IF(A52,5,IF(A53,6,IF(A54,7,"Error"))))))))))</f>
        <v>-5.0200481154771452</v>
      </c>
      <c r="C62" s="64" t="str">
        <f>CONCATENATE("Change ",INDEX(A35:A42,B68,1)," to this:")</f>
        <v>Change Aft to this:</v>
      </c>
      <c r="D62" s="55"/>
      <c r="E62" s="25"/>
      <c r="F62" s="350" t="s">
        <v>85</v>
      </c>
    </row>
    <row r="63" spans="1:6" x14ac:dyDescent="0.2">
      <c r="A63" s="25"/>
      <c r="B63" s="42"/>
      <c r="C63" s="62"/>
      <c r="D63" s="25"/>
      <c r="E63" s="25"/>
      <c r="F63" s="354"/>
    </row>
    <row r="64" spans="1:6" x14ac:dyDescent="0.2">
      <c r="A64" s="25"/>
      <c r="B64" s="42"/>
      <c r="C64" s="62"/>
      <c r="D64" s="311"/>
      <c r="E64" s="25"/>
      <c r="F64" s="354"/>
    </row>
    <row r="65" spans="1:15" s="3" customFormat="1" x14ac:dyDescent="0.2">
      <c r="A65" s="1"/>
      <c r="B65" s="1"/>
      <c r="C65" s="1"/>
      <c r="D65" s="1"/>
      <c r="E65" s="1"/>
      <c r="F65" s="369"/>
    </row>
    <row r="66" spans="1:15" s="3" customFormat="1" hidden="1" x14ac:dyDescent="0.2">
      <c r="A66" s="4" t="s">
        <v>62</v>
      </c>
      <c r="B66" s="5"/>
      <c r="C66" s="5"/>
      <c r="D66" s="6"/>
      <c r="F66" s="370"/>
    </row>
    <row r="67" spans="1:15" s="3" customFormat="1" hidden="1" x14ac:dyDescent="0.2">
      <c r="A67" s="9"/>
      <c r="B67" s="10">
        <f>IF(A48,1,IF(A49,2,IF(A50,3,IF(A51,4,IF(A52,5,IF(A53,6,IF(A54,7,"Error")))))))</f>
        <v>1</v>
      </c>
      <c r="C67" s="10" t="s">
        <v>53</v>
      </c>
      <c r="D67" s="11"/>
      <c r="F67" s="370"/>
    </row>
    <row r="68" spans="1:15" s="3" customFormat="1" hidden="1" x14ac:dyDescent="0.2">
      <c r="A68" s="9"/>
      <c r="B68" s="10">
        <f>IF(A55,8,IF(A54,7,IF(A53,6,IF(A52,5,IF(A51,4,IF(A50,3,IF(A49,2,"error")))))))</f>
        <v>8</v>
      </c>
      <c r="C68" s="10" t="s">
        <v>54</v>
      </c>
      <c r="D68" s="11"/>
      <c r="F68" s="370"/>
    </row>
    <row r="69" spans="1:15" s="3" customFormat="1" hidden="1" x14ac:dyDescent="0.2">
      <c r="A69" s="12"/>
      <c r="B69" s="10"/>
      <c r="C69" s="10"/>
      <c r="D69" s="13"/>
      <c r="E69" s="14"/>
      <c r="F69" s="14"/>
    </row>
    <row r="70" spans="1:15" s="3" customFormat="1" hidden="1" x14ac:dyDescent="0.2">
      <c r="A70" s="9"/>
      <c r="B70" s="10">
        <f>INDEX(C35:C42,IF(A48,1,IF(A49,2,IF(A50,3,IF(A51,4,IF(A52,5,IF(A53,6,IF(A54,7,"Error"))))))))</f>
        <v>-26</v>
      </c>
      <c r="C70" s="10" t="s">
        <v>55</v>
      </c>
      <c r="D70" s="15"/>
      <c r="E70" s="16"/>
      <c r="F70" s="371"/>
    </row>
    <row r="71" spans="1:15" s="3" customFormat="1" ht="13.5" hidden="1" thickBot="1" x14ac:dyDescent="0.25">
      <c r="A71" s="17"/>
      <c r="B71" s="18">
        <f>INDEX(C35:C42,IF(A55,8,IF(A54,7,IF(A53,6,IF(A52,5,IF(A51,4,IF(A50,3,IF(A49,2,"error"))))))))</f>
        <v>36.349999999999994</v>
      </c>
      <c r="C71" s="18" t="s">
        <v>56</v>
      </c>
      <c r="D71" s="19"/>
      <c r="E71" s="16"/>
      <c r="F71" s="371"/>
    </row>
    <row r="72" spans="1:15" x14ac:dyDescent="0.2">
      <c r="A72" s="24"/>
      <c r="B72" s="24"/>
      <c r="C72" s="24"/>
      <c r="D72" s="24"/>
      <c r="E72" s="24"/>
      <c r="F72" s="372"/>
    </row>
    <row r="73" spans="1:15" s="24" customFormat="1" x14ac:dyDescent="0.2">
      <c r="A73" s="29" t="s">
        <v>82</v>
      </c>
      <c r="F73" s="366"/>
    </row>
    <row r="74" spans="1:15" s="69" customFormat="1" ht="30.75" customHeight="1" x14ac:dyDescent="0.2">
      <c r="A74" s="485" t="s">
        <v>83</v>
      </c>
      <c r="B74" s="482"/>
      <c r="C74" s="482"/>
      <c r="D74" s="482"/>
      <c r="E74" s="67"/>
      <c r="F74" s="367"/>
    </row>
    <row r="75" spans="1:15" s="229" customFormat="1" ht="73.5" customHeight="1" x14ac:dyDescent="0.2">
      <c r="A75" s="481" t="s">
        <v>179</v>
      </c>
      <c r="B75" s="482"/>
      <c r="C75" s="482"/>
      <c r="D75" s="482"/>
      <c r="F75" s="368"/>
    </row>
    <row r="76" spans="1:15" s="229" customFormat="1" ht="78" customHeight="1" x14ac:dyDescent="0.2">
      <c r="A76" s="481" t="s">
        <v>180</v>
      </c>
      <c r="B76" s="482"/>
      <c r="C76" s="482"/>
      <c r="D76" s="482"/>
      <c r="F76" s="368"/>
      <c r="H76" s="70"/>
      <c r="I76" s="70"/>
      <c r="J76" s="70"/>
      <c r="K76" s="70"/>
      <c r="L76" s="70"/>
      <c r="M76" s="70"/>
      <c r="N76" s="70"/>
      <c r="O76" s="70"/>
    </row>
    <row r="77" spans="1:15" s="229" customFormat="1" ht="78.75" customHeight="1" x14ac:dyDescent="0.2">
      <c r="A77" s="481" t="s">
        <v>181</v>
      </c>
      <c r="B77" s="482"/>
      <c r="C77" s="482"/>
      <c r="D77" s="482"/>
      <c r="F77" s="368"/>
      <c r="H77" s="70"/>
      <c r="I77" s="70"/>
      <c r="J77" s="70"/>
      <c r="K77" s="70"/>
      <c r="L77" s="70"/>
      <c r="M77" s="70"/>
      <c r="N77" s="70"/>
      <c r="O77" s="70"/>
    </row>
    <row r="78" spans="1:15" s="229" customFormat="1" ht="126" customHeight="1" x14ac:dyDescent="0.2">
      <c r="A78" s="481" t="s">
        <v>182</v>
      </c>
      <c r="B78" s="482"/>
      <c r="C78" s="482"/>
      <c r="D78" s="482"/>
      <c r="F78" s="368"/>
      <c r="H78" s="70"/>
      <c r="I78" s="70"/>
      <c r="J78" s="70"/>
      <c r="K78" s="70"/>
      <c r="L78" s="70"/>
      <c r="M78" s="70"/>
      <c r="N78" s="70"/>
      <c r="O78" s="70"/>
    </row>
    <row r="79" spans="1:15" s="229" customFormat="1" ht="60.75" customHeight="1" x14ac:dyDescent="0.2">
      <c r="A79" s="481" t="s">
        <v>183</v>
      </c>
      <c r="B79" s="482"/>
      <c r="C79" s="482"/>
      <c r="D79" s="482"/>
      <c r="E79" s="70"/>
      <c r="F79" s="368"/>
      <c r="H79" s="70"/>
      <c r="I79" s="70"/>
      <c r="J79" s="70"/>
      <c r="K79" s="70"/>
      <c r="L79" s="70"/>
      <c r="M79" s="70"/>
      <c r="N79" s="70"/>
      <c r="O79" s="70"/>
    </row>
    <row r="80" spans="1:15" ht="34.5" customHeight="1" x14ac:dyDescent="0.2">
      <c r="A80" s="483" t="s">
        <v>86</v>
      </c>
      <c r="B80" s="484"/>
      <c r="C80" s="484"/>
      <c r="D80" s="484"/>
      <c r="E80" s="25"/>
      <c r="F80" s="350"/>
      <c r="G80" s="25"/>
      <c r="H80" s="25"/>
      <c r="I80" s="25"/>
      <c r="J80" s="25"/>
      <c r="K80" s="25"/>
      <c r="L80" s="25"/>
      <c r="M80" s="25"/>
      <c r="N80" s="25"/>
      <c r="O80" s="25"/>
    </row>
    <row r="81" spans="1:15" x14ac:dyDescent="0.2">
      <c r="A81" s="25"/>
      <c r="B81" s="25"/>
      <c r="C81" s="71"/>
      <c r="D81" s="42"/>
      <c r="E81" s="25"/>
      <c r="F81" s="350"/>
      <c r="G81" s="25"/>
      <c r="H81" s="25"/>
      <c r="I81" s="25"/>
      <c r="J81" s="25"/>
      <c r="K81" s="25"/>
      <c r="L81" s="25"/>
      <c r="M81" s="25"/>
      <c r="N81" s="25"/>
      <c r="O81" s="25"/>
    </row>
    <row r="82" spans="1:15" x14ac:dyDescent="0.2">
      <c r="A82" s="25" t="s">
        <v>91</v>
      </c>
      <c r="B82" s="25"/>
      <c r="C82" s="71"/>
      <c r="D82" s="42"/>
      <c r="E82" s="25"/>
      <c r="F82" s="350"/>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O82"/>
  <sheetViews>
    <sheetView zoomScaleNormal="100" zoomScaleSheetLayoutView="115" workbookViewId="0">
      <selection activeCell="M18" sqref="M18"/>
    </sheetView>
  </sheetViews>
  <sheetFormatPr defaultColWidth="9.140625" defaultRowHeight="12.75" x14ac:dyDescent="0.2"/>
  <cols>
    <col min="1" max="1" width="31.140625" style="21" customWidth="1"/>
    <col min="2" max="2" width="17.85546875" style="21" customWidth="1"/>
    <col min="3" max="3" width="23.28515625" style="21" customWidth="1"/>
    <col min="4" max="4" width="14.140625" style="21" customWidth="1"/>
    <col min="5" max="5" width="13.7109375" style="21" bestFit="1" customWidth="1"/>
    <col min="6" max="6" width="9.140625" style="90" customWidth="1"/>
    <col min="7" max="16384" width="9.140625" style="21"/>
  </cols>
  <sheetData>
    <row r="1" spans="1:15" customFormat="1" ht="20.25" customHeight="1" x14ac:dyDescent="0.2">
      <c r="A1" s="21"/>
      <c r="B1" s="21"/>
      <c r="C1" s="85"/>
      <c r="D1" s="171" t="s">
        <v>155</v>
      </c>
      <c r="E1" s="172" t="str">
        <f>Ballast!$H$1</f>
        <v>4095-GBPSH</v>
      </c>
      <c r="F1" s="359"/>
      <c r="H1" s="399" t="s">
        <v>250</v>
      </c>
      <c r="I1" s="385"/>
      <c r="J1" s="385"/>
      <c r="K1" s="394"/>
      <c r="L1" s="394"/>
      <c r="M1" s="394"/>
      <c r="N1" s="395"/>
    </row>
    <row r="2" spans="1:15" customFormat="1" ht="20.25" customHeight="1" x14ac:dyDescent="0.2">
      <c r="A2" s="21"/>
      <c r="B2" s="21"/>
      <c r="C2" s="85"/>
      <c r="D2" s="173" t="s">
        <v>156</v>
      </c>
      <c r="E2" s="174" t="str">
        <f>Ballast!$H$2</f>
        <v>F</v>
      </c>
      <c r="F2" s="359"/>
      <c r="H2" s="396"/>
      <c r="I2" s="392"/>
      <c r="J2" s="353"/>
      <c r="K2" s="353"/>
      <c r="L2" s="393" t="s">
        <v>255</v>
      </c>
      <c r="M2" s="388"/>
      <c r="N2" s="352" t="s">
        <v>10</v>
      </c>
      <c r="O2" s="400" t="s">
        <v>256</v>
      </c>
    </row>
    <row r="3" spans="1:15" customFormat="1" ht="20.25" customHeight="1" x14ac:dyDescent="0.2">
      <c r="A3" s="21"/>
      <c r="B3" s="21"/>
      <c r="C3" s="85"/>
      <c r="D3" s="173" t="s">
        <v>1</v>
      </c>
      <c r="E3" s="175">
        <f>Ballast!$H$3</f>
        <v>41813</v>
      </c>
      <c r="F3" s="359"/>
      <c r="H3" s="391"/>
      <c r="I3" s="350"/>
      <c r="J3" s="25"/>
      <c r="K3" s="25"/>
      <c r="L3" s="351" t="s">
        <v>252</v>
      </c>
      <c r="M3" s="388"/>
      <c r="N3" s="352" t="s">
        <v>10</v>
      </c>
      <c r="O3" s="400" t="s">
        <v>257</v>
      </c>
    </row>
    <row r="4" spans="1:15" customFormat="1" ht="20.25" customHeight="1" thickBot="1" x14ac:dyDescent="0.25">
      <c r="A4" s="21"/>
      <c r="B4" s="21"/>
      <c r="C4" s="85"/>
      <c r="D4" s="176" t="s">
        <v>157</v>
      </c>
      <c r="E4" s="177">
        <f>Ballast!$H$4</f>
        <v>12698</v>
      </c>
      <c r="F4" s="359"/>
      <c r="H4" s="391"/>
      <c r="I4" s="350"/>
      <c r="J4" s="25"/>
      <c r="K4" s="25"/>
      <c r="L4" s="354"/>
      <c r="M4" s="25"/>
      <c r="N4" s="36"/>
      <c r="O4" s="400"/>
    </row>
    <row r="5" spans="1:15" customFormat="1" ht="15" customHeight="1" thickBot="1" x14ac:dyDescent="0.25">
      <c r="A5" s="21"/>
      <c r="B5" s="21"/>
      <c r="C5" s="85"/>
      <c r="D5" s="85"/>
      <c r="E5" s="85"/>
      <c r="F5" s="359"/>
      <c r="H5" s="391"/>
      <c r="I5" s="350"/>
      <c r="J5" s="25"/>
      <c r="K5" s="25"/>
      <c r="L5" s="351" t="s">
        <v>251</v>
      </c>
      <c r="M5" s="402"/>
      <c r="N5" s="352" t="s">
        <v>243</v>
      </c>
      <c r="O5" s="400" t="s">
        <v>317</v>
      </c>
    </row>
    <row r="6" spans="1:15" customFormat="1" ht="15" customHeight="1" thickTop="1" thickBot="1" x14ac:dyDescent="0.25">
      <c r="A6" s="209"/>
      <c r="B6" s="209"/>
      <c r="C6" s="181"/>
      <c r="D6" s="181"/>
      <c r="E6" s="181"/>
      <c r="F6" s="359"/>
      <c r="H6" s="37"/>
      <c r="I6" s="350"/>
      <c r="J6" s="25"/>
      <c r="K6" s="25"/>
      <c r="L6" s="351" t="s">
        <v>237</v>
      </c>
      <c r="M6" s="402"/>
      <c r="N6" s="352" t="s">
        <v>224</v>
      </c>
      <c r="O6" s="400" t="s">
        <v>318</v>
      </c>
    </row>
    <row r="7" spans="1:15" x14ac:dyDescent="0.2">
      <c r="A7" s="168" t="s">
        <v>29</v>
      </c>
      <c r="B7" s="239" t="str">
        <f>IF(ISBLANK(Ballast!C13),"",Ballast!C13)</f>
        <v>631</v>
      </c>
      <c r="C7" s="85"/>
      <c r="D7" s="85"/>
      <c r="E7" s="85"/>
      <c r="F7" s="349"/>
      <c r="H7" s="37"/>
      <c r="I7" s="350"/>
      <c r="J7" s="25"/>
      <c r="K7" s="25"/>
      <c r="L7" s="351" t="s">
        <v>239</v>
      </c>
      <c r="M7" s="402">
        <v>0</v>
      </c>
      <c r="N7" s="352" t="s">
        <v>253</v>
      </c>
      <c r="O7" s="401" t="s">
        <v>259</v>
      </c>
    </row>
    <row r="8" spans="1:15" ht="13.5" thickBot="1" x14ac:dyDescent="0.25">
      <c r="A8" s="169" t="s">
        <v>1</v>
      </c>
      <c r="B8" s="240">
        <f>IF(ISBLANK(Ballast!C15),"",Ballast!C15)</f>
        <v>44397</v>
      </c>
      <c r="C8" s="85"/>
      <c r="D8" s="85"/>
      <c r="E8" s="85"/>
      <c r="F8" s="349"/>
      <c r="H8" s="37"/>
      <c r="I8" s="350"/>
      <c r="J8" s="25"/>
      <c r="K8" s="25"/>
      <c r="L8" s="351" t="s">
        <v>238</v>
      </c>
      <c r="M8" s="402">
        <v>0</v>
      </c>
      <c r="N8" s="352" t="s">
        <v>253</v>
      </c>
      <c r="O8" s="401" t="s">
        <v>259</v>
      </c>
    </row>
    <row r="9" spans="1:15" x14ac:dyDescent="0.2">
      <c r="A9" s="230"/>
      <c r="B9" s="231"/>
      <c r="C9" s="85"/>
      <c r="D9" s="85"/>
      <c r="E9" s="85"/>
      <c r="F9" s="349"/>
      <c r="H9" s="37"/>
      <c r="I9" s="25"/>
      <c r="J9" s="25"/>
      <c r="K9" s="25"/>
      <c r="L9" s="351" t="s">
        <v>240</v>
      </c>
      <c r="M9" s="46">
        <f>AVERAGE(M7:M8)</f>
        <v>0</v>
      </c>
      <c r="N9" s="352" t="s">
        <v>253</v>
      </c>
      <c r="O9" s="401" t="s">
        <v>260</v>
      </c>
    </row>
    <row r="10" spans="1:15" x14ac:dyDescent="0.2">
      <c r="A10" s="230"/>
      <c r="B10" s="231"/>
      <c r="C10" s="85"/>
      <c r="D10" s="85"/>
      <c r="E10" s="85"/>
      <c r="F10" s="349"/>
      <c r="H10" s="37"/>
      <c r="I10" s="25"/>
      <c r="J10" s="25"/>
      <c r="K10" s="25"/>
      <c r="L10" s="25"/>
      <c r="M10" s="25"/>
      <c r="N10" s="36"/>
      <c r="O10" s="401"/>
    </row>
    <row r="11" spans="1:15" ht="13.5" thickBot="1" x14ac:dyDescent="0.25">
      <c r="A11" s="230"/>
      <c r="B11" s="231"/>
      <c r="C11" s="85"/>
      <c r="D11" s="85"/>
      <c r="E11" s="85"/>
      <c r="F11" s="349"/>
      <c r="H11" s="47"/>
      <c r="I11" s="357"/>
      <c r="J11" s="357"/>
      <c r="K11" s="357"/>
      <c r="L11" s="398" t="s">
        <v>254</v>
      </c>
      <c r="M11" s="397">
        <f>-M9</f>
        <v>0</v>
      </c>
      <c r="N11" s="55"/>
      <c r="O11" s="401" t="s">
        <v>258</v>
      </c>
    </row>
    <row r="12" spans="1:15" x14ac:dyDescent="0.2">
      <c r="A12" s="230"/>
      <c r="B12" s="231"/>
      <c r="C12" s="85"/>
      <c r="D12" s="85"/>
      <c r="E12" s="85"/>
      <c r="F12" s="349"/>
    </row>
    <row r="13" spans="1:15" x14ac:dyDescent="0.2">
      <c r="A13" s="230"/>
      <c r="B13" s="231"/>
      <c r="C13" s="85"/>
      <c r="D13" s="85"/>
      <c r="E13" s="85"/>
      <c r="F13" s="349"/>
    </row>
    <row r="14" spans="1:15" x14ac:dyDescent="0.2">
      <c r="A14" s="230"/>
      <c r="B14" s="231"/>
      <c r="C14" s="85"/>
      <c r="D14" s="85"/>
      <c r="E14" s="85"/>
      <c r="F14" s="349"/>
    </row>
    <row r="15" spans="1:15" x14ac:dyDescent="0.2">
      <c r="A15" s="480" t="s">
        <v>173</v>
      </c>
      <c r="B15" s="480"/>
      <c r="C15" s="480"/>
      <c r="D15" s="480"/>
      <c r="E15" s="85"/>
      <c r="F15" s="349"/>
    </row>
    <row r="16" spans="1:15" ht="13.5" thickBot="1" x14ac:dyDescent="0.25">
      <c r="A16" s="30"/>
      <c r="C16" s="85"/>
      <c r="D16" s="85"/>
      <c r="E16" s="85"/>
      <c r="F16" s="349"/>
    </row>
    <row r="17" spans="1:14" ht="13.5" thickBot="1" x14ac:dyDescent="0.25">
      <c r="A17" s="31" t="s">
        <v>60</v>
      </c>
      <c r="B17" s="32"/>
      <c r="C17" s="182"/>
      <c r="D17" s="183"/>
      <c r="E17" s="85"/>
      <c r="F17" s="349"/>
    </row>
    <row r="18" spans="1:14" x14ac:dyDescent="0.2">
      <c r="A18" s="34"/>
      <c r="B18" s="35" t="s">
        <v>39</v>
      </c>
      <c r="C18" s="72">
        <v>0</v>
      </c>
      <c r="D18" s="36" t="s">
        <v>10</v>
      </c>
      <c r="E18" s="383" t="s">
        <v>248</v>
      </c>
      <c r="F18" s="384"/>
      <c r="G18" s="385"/>
      <c r="H18" s="386"/>
      <c r="I18" s="385"/>
      <c r="J18" s="387"/>
    </row>
    <row r="19" spans="1:14" x14ac:dyDescent="0.2">
      <c r="A19" s="37"/>
      <c r="B19" s="38" t="s">
        <v>40</v>
      </c>
      <c r="C19" s="72">
        <v>0</v>
      </c>
      <c r="D19" s="36" t="s">
        <v>10</v>
      </c>
      <c r="E19" s="379" t="str">
        <f>IF(C19&gt;5000,"Error: scale reading too high",IF(C19&lt;0,"Error: scale reading should be positive",""))</f>
        <v/>
      </c>
      <c r="F19" s="350"/>
      <c r="G19" s="25"/>
      <c r="H19" s="380" t="s">
        <v>246</v>
      </c>
      <c r="I19" s="46">
        <f>Worksheet!G7</f>
        <v>74109</v>
      </c>
      <c r="J19" s="352" t="s">
        <v>10</v>
      </c>
    </row>
    <row r="20" spans="1:14" x14ac:dyDescent="0.2">
      <c r="A20" s="37"/>
      <c r="B20" s="38" t="s">
        <v>41</v>
      </c>
      <c r="C20" s="187">
        <f>Ballast!G39</f>
        <v>521.42598206305024</v>
      </c>
      <c r="D20" s="36" t="s">
        <v>10</v>
      </c>
      <c r="E20" s="186"/>
      <c r="F20" s="350"/>
      <c r="G20" s="25"/>
      <c r="H20" s="380" t="s">
        <v>247</v>
      </c>
      <c r="I20" s="403">
        <f>C18+C19</f>
        <v>0</v>
      </c>
      <c r="J20" s="352" t="s">
        <v>10</v>
      </c>
    </row>
    <row r="21" spans="1:14" x14ac:dyDescent="0.2">
      <c r="A21" s="39"/>
      <c r="B21" s="40" t="s">
        <v>284</v>
      </c>
      <c r="C21" s="188">
        <f>C20-(C18+C19)</f>
        <v>521.42598206305024</v>
      </c>
      <c r="D21" s="41" t="s">
        <v>10</v>
      </c>
      <c r="E21" s="186"/>
      <c r="F21" s="350"/>
      <c r="G21" s="25"/>
      <c r="H21" s="380" t="s">
        <v>245</v>
      </c>
      <c r="I21" s="46">
        <f>(Worksheet!G7-I20)/(Ballast!C38/1000)</f>
        <v>72767.887827342085</v>
      </c>
      <c r="J21" s="352" t="s">
        <v>242</v>
      </c>
    </row>
    <row r="22" spans="1:14" ht="13.5" thickBot="1" x14ac:dyDescent="0.25">
      <c r="A22" s="193"/>
      <c r="B22" s="376" t="s">
        <v>241</v>
      </c>
      <c r="C22" s="377">
        <f>C21</f>
        <v>521.42598206305024</v>
      </c>
      <c r="D22" s="378" t="s">
        <v>10</v>
      </c>
      <c r="E22" s="193"/>
      <c r="F22" s="358"/>
      <c r="G22" s="357"/>
      <c r="H22" s="381" t="s">
        <v>244</v>
      </c>
      <c r="I22" s="390">
        <f>M25+((Ballast!E38/1000)*I21)-I19</f>
        <v>532.4220708329085</v>
      </c>
      <c r="J22" s="382" t="s">
        <v>10</v>
      </c>
      <c r="K22" s="389" t="s">
        <v>249</v>
      </c>
    </row>
    <row r="23" spans="1:14" x14ac:dyDescent="0.2">
      <c r="A23" s="186"/>
      <c r="B23" s="43" t="s">
        <v>38</v>
      </c>
      <c r="C23" s="44" t="s">
        <v>42</v>
      </c>
      <c r="D23" s="36"/>
      <c r="E23" s="85"/>
      <c r="F23" s="349"/>
    </row>
    <row r="24" spans="1:14" x14ac:dyDescent="0.2">
      <c r="A24" s="186"/>
      <c r="B24" s="45" t="s">
        <v>66</v>
      </c>
      <c r="C24" s="45" t="s">
        <v>66</v>
      </c>
      <c r="D24" s="36"/>
      <c r="E24" s="85"/>
      <c r="F24" s="349"/>
    </row>
    <row r="25" spans="1:14" x14ac:dyDescent="0.2">
      <c r="A25" s="46" t="s">
        <v>33</v>
      </c>
      <c r="B25" s="219">
        <v>1</v>
      </c>
      <c r="C25" s="191">
        <f>B25-$C$31</f>
        <v>-24</v>
      </c>
      <c r="D25" s="36"/>
      <c r="E25" s="85" t="str">
        <f>IF(B25&lt;-10,"Error: Check scale position",IF(B25&gt;30, "Error, check scale position",""))</f>
        <v/>
      </c>
      <c r="F25" s="413"/>
      <c r="G25" s="414"/>
      <c r="H25" s="415"/>
      <c r="I25" s="414"/>
      <c r="J25" s="415"/>
      <c r="K25" s="414"/>
      <c r="L25" s="417" t="s">
        <v>283</v>
      </c>
      <c r="M25" s="416">
        <f>I21*10^-3*53.5*10^-6*(Ballast!E32-Ballast!C32)*Ballast!E38</f>
        <v>-110.37850873579116</v>
      </c>
      <c r="N25" s="24" t="s">
        <v>10</v>
      </c>
    </row>
    <row r="26" spans="1:14" x14ac:dyDescent="0.2">
      <c r="A26" s="46" t="s">
        <v>34</v>
      </c>
      <c r="B26" s="219">
        <v>54.25</v>
      </c>
      <c r="C26" s="191">
        <f>B26-$C$31</f>
        <v>29.25</v>
      </c>
      <c r="D26" s="36"/>
      <c r="E26" s="85" t="str">
        <f>IF(B26&lt;20,"Error: Check scale position",IF(B26&gt;70, "Error, check scale position",""))</f>
        <v/>
      </c>
      <c r="F26" s="349"/>
    </row>
    <row r="27" spans="1:14" x14ac:dyDescent="0.2">
      <c r="A27" s="37"/>
      <c r="B27" s="24"/>
      <c r="C27" s="189"/>
      <c r="D27" s="36"/>
      <c r="E27" s="85"/>
      <c r="F27" s="349"/>
    </row>
    <row r="28" spans="1:14" ht="13.5" thickBot="1" x14ac:dyDescent="0.25">
      <c r="A28" s="47"/>
      <c r="B28" s="48" t="s">
        <v>74</v>
      </c>
      <c r="C28" s="180">
        <f>(C18*C25)+(C19*C26)</f>
        <v>0</v>
      </c>
      <c r="D28" s="49" t="s">
        <v>30</v>
      </c>
      <c r="E28" s="85"/>
      <c r="F28" s="349"/>
    </row>
    <row r="29" spans="1:14" ht="13.5" thickBot="1" x14ac:dyDescent="0.25">
      <c r="A29" s="189"/>
      <c r="B29" s="194"/>
      <c r="C29" s="189"/>
      <c r="D29" s="189"/>
      <c r="E29" s="189"/>
      <c r="F29" s="350" t="s">
        <v>81</v>
      </c>
    </row>
    <row r="30" spans="1:14" x14ac:dyDescent="0.2">
      <c r="A30" s="51" t="s">
        <v>36</v>
      </c>
      <c r="B30" s="182"/>
      <c r="C30" s="182"/>
      <c r="D30" s="183"/>
      <c r="E30" s="189"/>
      <c r="F30" s="349" t="s">
        <v>61</v>
      </c>
    </row>
    <row r="31" spans="1:14" x14ac:dyDescent="0.2">
      <c r="A31" s="37"/>
      <c r="B31" s="52" t="s">
        <v>35</v>
      </c>
      <c r="C31" s="74">
        <v>25</v>
      </c>
      <c r="D31" s="195"/>
      <c r="E31" s="189"/>
      <c r="F31" s="349" t="s">
        <v>37</v>
      </c>
    </row>
    <row r="32" spans="1:14" ht="13.5" thickBot="1" x14ac:dyDescent="0.25">
      <c r="A32" s="37"/>
      <c r="B32" s="189"/>
      <c r="C32" s="189"/>
      <c r="D32" s="185"/>
      <c r="E32" s="189"/>
      <c r="F32" s="349" t="s">
        <v>68</v>
      </c>
    </row>
    <row r="33" spans="1:6" x14ac:dyDescent="0.2">
      <c r="A33" s="53" t="s">
        <v>44</v>
      </c>
      <c r="B33" s="53" t="s">
        <v>65</v>
      </c>
      <c r="C33" s="53" t="s">
        <v>67</v>
      </c>
      <c r="D33" s="185"/>
      <c r="E33" s="189"/>
      <c r="F33" s="349" t="s">
        <v>87</v>
      </c>
    </row>
    <row r="34" spans="1:6" ht="13.5" thickBot="1" x14ac:dyDescent="0.25">
      <c r="A34" s="54"/>
      <c r="B34" s="54" t="s">
        <v>66</v>
      </c>
      <c r="C34" s="54" t="s">
        <v>66</v>
      </c>
      <c r="D34" s="185"/>
      <c r="E34" s="189"/>
      <c r="F34" s="349" t="s">
        <v>88</v>
      </c>
    </row>
    <row r="35" spans="1:6" x14ac:dyDescent="0.2">
      <c r="A35" s="206" t="s">
        <v>78</v>
      </c>
      <c r="B35" s="75">
        <v>2</v>
      </c>
      <c r="C35" s="196">
        <f t="shared" ref="C35:C42" si="0">B35-C$31</f>
        <v>-23</v>
      </c>
      <c r="D35" s="185"/>
      <c r="E35" s="189"/>
      <c r="F35" s="349"/>
    </row>
    <row r="36" spans="1:6" x14ac:dyDescent="0.2">
      <c r="A36" s="217" t="s">
        <v>107</v>
      </c>
      <c r="B36" s="76">
        <v>2.125</v>
      </c>
      <c r="C36" s="191">
        <f t="shared" si="0"/>
        <v>-22.875</v>
      </c>
      <c r="D36" s="185"/>
      <c r="E36" s="189"/>
    </row>
    <row r="37" spans="1:6" x14ac:dyDescent="0.2">
      <c r="A37" s="217" t="s">
        <v>194</v>
      </c>
      <c r="B37" s="76">
        <v>19.5</v>
      </c>
      <c r="C37" s="191">
        <f t="shared" si="0"/>
        <v>-5.5</v>
      </c>
      <c r="D37" s="185"/>
      <c r="E37" s="189"/>
      <c r="F37" s="349"/>
    </row>
    <row r="38" spans="1:6" x14ac:dyDescent="0.2">
      <c r="A38" s="217" t="s">
        <v>162</v>
      </c>
      <c r="B38" s="77">
        <v>9999</v>
      </c>
      <c r="C38" s="191">
        <f t="shared" si="0"/>
        <v>9974</v>
      </c>
      <c r="D38" s="185"/>
      <c r="E38" s="189"/>
      <c r="F38" s="349"/>
    </row>
    <row r="39" spans="1:6" x14ac:dyDescent="0.2">
      <c r="A39" s="217" t="s">
        <v>172</v>
      </c>
      <c r="B39" s="227">
        <v>9999</v>
      </c>
      <c r="C39" s="191">
        <f t="shared" si="0"/>
        <v>9974</v>
      </c>
      <c r="D39" s="185"/>
      <c r="E39" s="189"/>
      <c r="F39" s="349"/>
    </row>
    <row r="40" spans="1:6" x14ac:dyDescent="0.2">
      <c r="A40" s="217" t="s">
        <v>163</v>
      </c>
      <c r="B40" s="77">
        <v>9999</v>
      </c>
      <c r="C40" s="191">
        <f t="shared" si="0"/>
        <v>9974</v>
      </c>
      <c r="D40" s="185"/>
      <c r="E40" s="189"/>
      <c r="F40" s="349"/>
    </row>
    <row r="41" spans="1:6" x14ac:dyDescent="0.2">
      <c r="A41" s="217" t="s">
        <v>106</v>
      </c>
      <c r="B41" s="76">
        <v>35.25</v>
      </c>
      <c r="C41" s="191">
        <f t="shared" si="0"/>
        <v>10.25</v>
      </c>
      <c r="D41" s="185"/>
      <c r="E41" s="189"/>
      <c r="F41" s="349"/>
    </row>
    <row r="42" spans="1:6" ht="13.5" thickBot="1" x14ac:dyDescent="0.25">
      <c r="A42" s="208" t="s">
        <v>31</v>
      </c>
      <c r="B42" s="78">
        <v>54.75</v>
      </c>
      <c r="C42" s="197">
        <f t="shared" si="0"/>
        <v>29.75</v>
      </c>
      <c r="D42" s="198"/>
      <c r="E42" s="189"/>
      <c r="F42" s="349"/>
    </row>
    <row r="43" spans="1:6" ht="13.5" thickBot="1" x14ac:dyDescent="0.25">
      <c r="B43" s="85"/>
      <c r="C43" s="85"/>
      <c r="D43" s="85"/>
      <c r="E43" s="85"/>
      <c r="F43" s="349"/>
    </row>
    <row r="44" spans="1:6" x14ac:dyDescent="0.2">
      <c r="A44" s="51" t="s">
        <v>57</v>
      </c>
      <c r="B44" s="182"/>
      <c r="C44" s="182"/>
      <c r="D44" s="183"/>
      <c r="E44" s="85"/>
      <c r="F44" s="349"/>
    </row>
    <row r="45" spans="1:6" ht="13.5" thickBot="1" x14ac:dyDescent="0.25">
      <c r="A45" s="37"/>
      <c r="B45" s="189"/>
      <c r="C45" s="189"/>
      <c r="D45" s="185"/>
      <c r="E45" s="85"/>
      <c r="F45" s="349"/>
    </row>
    <row r="46" spans="1:6" ht="25.5" x14ac:dyDescent="0.2">
      <c r="A46" s="53" t="s">
        <v>75</v>
      </c>
      <c r="B46" s="53" t="s">
        <v>58</v>
      </c>
      <c r="C46" s="32" t="s">
        <v>51</v>
      </c>
      <c r="D46" s="167" t="s">
        <v>52</v>
      </c>
      <c r="E46" s="204" t="s">
        <v>89</v>
      </c>
      <c r="F46" s="349"/>
    </row>
    <row r="47" spans="1:6" ht="13.5" thickBot="1" x14ac:dyDescent="0.25">
      <c r="A47" s="56" t="s">
        <v>76</v>
      </c>
      <c r="B47" s="54"/>
      <c r="C47" s="57" t="s">
        <v>63</v>
      </c>
      <c r="D47" s="56" t="s">
        <v>64</v>
      </c>
      <c r="E47" s="205" t="s">
        <v>90</v>
      </c>
      <c r="F47" s="349"/>
    </row>
    <row r="48" spans="1:6" x14ac:dyDescent="0.2">
      <c r="A48" s="79">
        <v>1</v>
      </c>
      <c r="B48" s="58" t="str">
        <f t="shared" ref="B48:B55" si="1">A35</f>
        <v>Forward</v>
      </c>
      <c r="C48" s="80">
        <v>0</v>
      </c>
      <c r="D48" s="199">
        <f t="shared" ref="D48:D55" si="2">C35*C48</f>
        <v>0</v>
      </c>
      <c r="E48" s="86"/>
      <c r="F48" s="360" t="str">
        <f t="shared" ref="F48:F56" si="3">IF(ABS(C48)&gt;5000,"Error: Weight adjustment too high","")</f>
        <v/>
      </c>
    </row>
    <row r="49" spans="1:6" x14ac:dyDescent="0.2">
      <c r="A49" s="80">
        <v>0</v>
      </c>
      <c r="B49" s="58" t="str">
        <f t="shared" si="1"/>
        <v>Nose Weights</v>
      </c>
      <c r="C49" s="80">
        <v>0</v>
      </c>
      <c r="D49" s="199">
        <f t="shared" si="2"/>
        <v>0</v>
      </c>
      <c r="E49" s="87"/>
      <c r="F49" s="360" t="str">
        <f t="shared" si="3"/>
        <v/>
      </c>
    </row>
    <row r="50" spans="1:6" x14ac:dyDescent="0.2">
      <c r="A50" s="80">
        <v>1</v>
      </c>
      <c r="B50" s="58" t="str">
        <f t="shared" si="1"/>
        <v>Sci bay fwd plates</v>
      </c>
      <c r="C50" s="80">
        <v>0</v>
      </c>
      <c r="D50" s="199">
        <f t="shared" si="2"/>
        <v>0</v>
      </c>
      <c r="E50" s="87"/>
      <c r="F50" s="360" t="str">
        <f t="shared" si="3"/>
        <v/>
      </c>
    </row>
    <row r="51" spans="1:6" x14ac:dyDescent="0.2">
      <c r="A51" s="80">
        <v>0</v>
      </c>
      <c r="B51" s="58" t="str">
        <f t="shared" si="1"/>
        <v>Sci fwd disc(unused)</v>
      </c>
      <c r="C51" s="80">
        <v>0</v>
      </c>
      <c r="D51" s="199">
        <f t="shared" si="2"/>
        <v>0</v>
      </c>
      <c r="E51" s="87"/>
      <c r="F51" s="360" t="str">
        <f t="shared" si="3"/>
        <v/>
      </c>
    </row>
    <row r="52" spans="1:6" x14ac:dyDescent="0.2">
      <c r="A52" s="80">
        <v>1</v>
      </c>
      <c r="B52" s="58" t="str">
        <f t="shared" si="1"/>
        <v>Center (unused)</v>
      </c>
      <c r="C52" s="80">
        <v>0</v>
      </c>
      <c r="D52" s="199">
        <f t="shared" si="2"/>
        <v>0</v>
      </c>
      <c r="E52" s="87"/>
      <c r="F52" s="360" t="str">
        <f t="shared" si="3"/>
        <v/>
      </c>
    </row>
    <row r="53" spans="1:6" x14ac:dyDescent="0.2">
      <c r="A53" s="80">
        <v>0</v>
      </c>
      <c r="B53" s="58" t="str">
        <f t="shared" si="1"/>
        <v>Sci aft disc(unused)</v>
      </c>
      <c r="C53" s="80">
        <v>0</v>
      </c>
      <c r="D53" s="199">
        <f t="shared" si="2"/>
        <v>0</v>
      </c>
      <c r="E53" s="87"/>
      <c r="F53" s="360" t="str">
        <f t="shared" si="3"/>
        <v/>
      </c>
    </row>
    <row r="54" spans="1:6" x14ac:dyDescent="0.2">
      <c r="A54" s="80">
        <v>1</v>
      </c>
      <c r="B54" s="58" t="str">
        <f t="shared" si="1"/>
        <v>Sci aft plates</v>
      </c>
      <c r="C54" s="80">
        <v>0</v>
      </c>
      <c r="D54" s="199">
        <f t="shared" si="2"/>
        <v>0</v>
      </c>
      <c r="E54" s="87"/>
      <c r="F54" s="360" t="str">
        <f t="shared" si="3"/>
        <v/>
      </c>
    </row>
    <row r="55" spans="1:6" ht="13.5" thickBot="1" x14ac:dyDescent="0.25">
      <c r="A55" s="81">
        <v>1</v>
      </c>
      <c r="B55" s="54" t="str">
        <f t="shared" si="1"/>
        <v>Aft</v>
      </c>
      <c r="C55" s="81">
        <v>0</v>
      </c>
      <c r="D55" s="200">
        <f t="shared" si="2"/>
        <v>0</v>
      </c>
      <c r="E55" s="88"/>
      <c r="F55" s="360" t="str">
        <f t="shared" si="3"/>
        <v/>
      </c>
    </row>
    <row r="56" spans="1:6" ht="13.5" thickBot="1" x14ac:dyDescent="0.25">
      <c r="A56" s="193"/>
      <c r="B56" s="201"/>
      <c r="C56" s="180">
        <f>SUM(C48:C55)</f>
        <v>0</v>
      </c>
      <c r="D56" s="202">
        <f>SUM(D48:D55)</f>
        <v>0</v>
      </c>
      <c r="E56" s="85"/>
      <c r="F56" s="360" t="str">
        <f t="shared" si="3"/>
        <v/>
      </c>
    </row>
    <row r="57" spans="1:6" ht="13.5" thickBot="1" x14ac:dyDescent="0.25">
      <c r="A57" s="85"/>
      <c r="B57" s="85"/>
      <c r="C57" s="85"/>
      <c r="D57" s="85"/>
      <c r="E57" s="85"/>
      <c r="F57" s="349"/>
    </row>
    <row r="58" spans="1:6" x14ac:dyDescent="0.2">
      <c r="A58" s="51" t="s">
        <v>59</v>
      </c>
      <c r="B58" s="32"/>
      <c r="C58" s="32"/>
      <c r="D58" s="33"/>
      <c r="E58" s="25"/>
      <c r="F58" s="361"/>
    </row>
    <row r="59" spans="1:6" x14ac:dyDescent="0.2">
      <c r="A59" s="37"/>
      <c r="B59" s="60">
        <f>ABS((C18+C19-C20)+C56)</f>
        <v>521.42598206305024</v>
      </c>
      <c r="C59" s="27" t="str">
        <f>IF(((C18+C19-C20)+C56)&gt;=0,"additional grams need to be removed", "additional grams need to be added")</f>
        <v>additional grams need to be added</v>
      </c>
      <c r="D59" s="36"/>
      <c r="E59" s="25"/>
      <c r="F59" s="350"/>
    </row>
    <row r="60" spans="1:6" x14ac:dyDescent="0.2">
      <c r="A60" s="37"/>
      <c r="B60" s="42">
        <f>ABS((C28+D56)/(B71-B70))</f>
        <v>0</v>
      </c>
      <c r="C60" s="42" t="str">
        <f>CONCATENATE("Grams need to move from ",IF((C28+D56)&lt;=0,INDEX(A35:A42,B67,1),INDEX(A35:A42,B68,1))," to ",IF((C28+D56)&lt;=0,INDEX(A35:A42,B68,1),INDEX(A35:A42,B67,1)))</f>
        <v>Grams need to move from Forward to Aft</v>
      </c>
      <c r="D60" s="36"/>
      <c r="E60" s="25"/>
      <c r="F60" s="350"/>
    </row>
    <row r="61" spans="1:6" x14ac:dyDescent="0.2">
      <c r="A61" s="37"/>
      <c r="B61" s="42">
        <f>INDEX(C48:C55,IF(A48,1,IF(A49,2,IF(A50,3,IF(A51,4,IF(A52,5,IF(A53,6,IF(A54,7,"Error"))))))))+(C28+D56)/(INDEX(C35:C42,IF(A55,8,IF(A54,7,IF(A53,6,IF(A52,5,IF(A51,4,IF(A50,3,IF(A49,2,"error"))))))))-INDEX(C35:C42,IF(A48,1,IF(A49,2,IF(A50,3,IF(A51,4,IF(A52,5,IF(A53,6,IF(A54,7,"Error")))))))))</f>
        <v>0</v>
      </c>
      <c r="C61" s="62" t="str">
        <f>CONCATENATE("Change ",INDEX(A35:A42,B67,1)," to this:")</f>
        <v>Change Forward to this:</v>
      </c>
      <c r="D61" s="36"/>
      <c r="E61" s="25"/>
      <c r="F61" s="350" t="s">
        <v>84</v>
      </c>
    </row>
    <row r="62" spans="1:6" ht="13.5" thickBot="1" x14ac:dyDescent="0.25">
      <c r="A62" s="47"/>
      <c r="B62" s="63">
        <f>INDEX(C48:C55,IF(A55,8,IF(A54,7,IF(A53,6,IF(A52,5,IF(A51,4,IF(A50,3,IF(A49,2,"error"))))))))-((C28+D56)/(INDEX(C35:C42,IF(A55,8,IF(A54,7,IF(A53,6,IF(A52,5,IF(A51,4,IF(A50,3,IF(A49,2,"error"))))))))-INDEX(C35:C42,IF(A48,1,IF(A49,2,IF(A50,3,IF(A51,4,IF(A52,5,IF(A53,6,IF(A54,7,"Error"))))))))))</f>
        <v>0</v>
      </c>
      <c r="C62" s="64" t="str">
        <f>CONCATENATE("Change ",INDEX(A35:A42,B68,1)," to this:")</f>
        <v>Change Aft to this:</v>
      </c>
      <c r="D62" s="55"/>
      <c r="E62" s="25"/>
      <c r="F62" s="350" t="s">
        <v>85</v>
      </c>
    </row>
    <row r="63" spans="1:6" x14ac:dyDescent="0.2">
      <c r="A63" s="25"/>
      <c r="B63" s="42"/>
      <c r="C63" s="62"/>
      <c r="D63" s="311"/>
      <c r="E63" s="25"/>
      <c r="F63" s="354"/>
    </row>
    <row r="64" spans="1:6" x14ac:dyDescent="0.2">
      <c r="A64" s="25"/>
      <c r="B64" s="42"/>
      <c r="C64" s="62"/>
      <c r="D64" s="25"/>
      <c r="E64" s="25"/>
      <c r="F64" s="354"/>
    </row>
    <row r="65" spans="1:15" s="3" customFormat="1" x14ac:dyDescent="0.2">
      <c r="A65" s="1"/>
      <c r="B65" s="1"/>
      <c r="C65" s="1"/>
      <c r="D65" s="1"/>
      <c r="E65" s="1"/>
      <c r="F65" s="369"/>
    </row>
    <row r="66" spans="1:15" s="3" customFormat="1" hidden="1" x14ac:dyDescent="0.2">
      <c r="A66" s="4" t="s">
        <v>62</v>
      </c>
      <c r="B66" s="5"/>
      <c r="C66" s="5"/>
      <c r="D66" s="6"/>
      <c r="F66" s="370"/>
    </row>
    <row r="67" spans="1:15" s="3" customFormat="1" hidden="1" x14ac:dyDescent="0.2">
      <c r="A67" s="9"/>
      <c r="B67" s="10">
        <f>IF(A48,1,IF(A49,2,IF(A50,3,IF(A51,4,IF(A52,5,IF(A53,6,IF(A54,7,"Error")))))))</f>
        <v>1</v>
      </c>
      <c r="C67" s="10" t="s">
        <v>53</v>
      </c>
      <c r="D67" s="11"/>
      <c r="F67" s="370"/>
    </row>
    <row r="68" spans="1:15" s="3" customFormat="1" hidden="1" x14ac:dyDescent="0.2">
      <c r="A68" s="9"/>
      <c r="B68" s="10">
        <f>IF(A55,8,IF(A54,7,IF(A53,6,IF(A52,5,IF(A51,4,IF(A50,3,IF(A49,2,"error")))))))</f>
        <v>8</v>
      </c>
      <c r="C68" s="10" t="s">
        <v>54</v>
      </c>
      <c r="D68" s="11"/>
      <c r="F68" s="370"/>
    </row>
    <row r="69" spans="1:15" s="3" customFormat="1" hidden="1" x14ac:dyDescent="0.2">
      <c r="A69" s="12"/>
      <c r="B69" s="10"/>
      <c r="C69" s="10"/>
      <c r="D69" s="13"/>
      <c r="E69" s="14"/>
      <c r="F69" s="14"/>
    </row>
    <row r="70" spans="1:15" s="3" customFormat="1" hidden="1" x14ac:dyDescent="0.2">
      <c r="A70" s="9"/>
      <c r="B70" s="10">
        <f>INDEX(C35:C42,IF(A48,1,IF(A49,2,IF(A50,3,IF(A51,4,IF(A52,5,IF(A53,6,IF(A54,7,"Error"))))))))</f>
        <v>-23</v>
      </c>
      <c r="C70" s="10" t="s">
        <v>55</v>
      </c>
      <c r="D70" s="15"/>
      <c r="E70" s="16"/>
      <c r="F70" s="371"/>
    </row>
    <row r="71" spans="1:15" s="3" customFormat="1" ht="13.5" hidden="1" thickBot="1" x14ac:dyDescent="0.25">
      <c r="A71" s="17"/>
      <c r="B71" s="18">
        <f>INDEX(C35:C42,IF(A55,8,IF(A54,7,IF(A53,6,IF(A52,5,IF(A51,4,IF(A50,3,IF(A49,2,"error"))))))))</f>
        <v>29.75</v>
      </c>
      <c r="C71" s="18" t="s">
        <v>56</v>
      </c>
      <c r="D71" s="19"/>
      <c r="E71" s="16"/>
      <c r="F71" s="371"/>
    </row>
    <row r="72" spans="1:15" x14ac:dyDescent="0.2">
      <c r="A72" s="24"/>
      <c r="B72" s="24"/>
      <c r="C72" s="24"/>
      <c r="D72" s="24"/>
      <c r="E72" s="24"/>
      <c r="F72" s="372"/>
    </row>
    <row r="73" spans="1:15" s="24" customFormat="1" x14ac:dyDescent="0.2">
      <c r="A73" s="29" t="s">
        <v>82</v>
      </c>
      <c r="F73" s="366"/>
    </row>
    <row r="74" spans="1:15" s="69" customFormat="1" ht="30.75" customHeight="1" x14ac:dyDescent="0.2">
      <c r="A74" s="485" t="s">
        <v>83</v>
      </c>
      <c r="B74" s="482"/>
      <c r="C74" s="482"/>
      <c r="D74" s="482"/>
      <c r="E74" s="67"/>
      <c r="F74" s="367"/>
    </row>
    <row r="75" spans="1:15" s="229" customFormat="1" ht="73.5" customHeight="1" x14ac:dyDescent="0.2">
      <c r="A75" s="481" t="s">
        <v>179</v>
      </c>
      <c r="B75" s="482"/>
      <c r="C75" s="482"/>
      <c r="D75" s="482"/>
      <c r="F75" s="368"/>
    </row>
    <row r="76" spans="1:15" s="229" customFormat="1" ht="78" customHeight="1" x14ac:dyDescent="0.2">
      <c r="A76" s="481" t="s">
        <v>180</v>
      </c>
      <c r="B76" s="482"/>
      <c r="C76" s="482"/>
      <c r="D76" s="482"/>
      <c r="F76" s="368"/>
      <c r="H76" s="70"/>
      <c r="I76" s="70"/>
      <c r="J76" s="70"/>
      <c r="K76" s="70"/>
      <c r="L76" s="70"/>
      <c r="M76" s="70"/>
      <c r="N76" s="70"/>
      <c r="O76" s="70"/>
    </row>
    <row r="77" spans="1:15" s="229" customFormat="1" ht="78.75" customHeight="1" x14ac:dyDescent="0.2">
      <c r="A77" s="481" t="s">
        <v>181</v>
      </c>
      <c r="B77" s="482"/>
      <c r="C77" s="482"/>
      <c r="D77" s="482"/>
      <c r="F77" s="368"/>
      <c r="H77" s="70"/>
      <c r="I77" s="70"/>
      <c r="J77" s="70"/>
      <c r="K77" s="70"/>
      <c r="L77" s="70"/>
      <c r="M77" s="70"/>
      <c r="N77" s="70"/>
      <c r="O77" s="70"/>
    </row>
    <row r="78" spans="1:15" s="229" customFormat="1" ht="126" customHeight="1" x14ac:dyDescent="0.2">
      <c r="A78" s="481" t="s">
        <v>182</v>
      </c>
      <c r="B78" s="482"/>
      <c r="C78" s="482"/>
      <c r="D78" s="482"/>
      <c r="F78" s="368"/>
      <c r="H78" s="70"/>
      <c r="I78" s="70"/>
      <c r="J78" s="70"/>
      <c r="K78" s="70"/>
      <c r="L78" s="70"/>
      <c r="M78" s="70"/>
      <c r="N78" s="70"/>
      <c r="O78" s="70"/>
    </row>
    <row r="79" spans="1:15" s="229" customFormat="1" ht="60.75" customHeight="1" x14ac:dyDescent="0.2">
      <c r="A79" s="481" t="s">
        <v>183</v>
      </c>
      <c r="B79" s="482"/>
      <c r="C79" s="482"/>
      <c r="D79" s="482"/>
      <c r="E79" s="70"/>
      <c r="F79" s="368"/>
      <c r="H79" s="70"/>
      <c r="I79" s="70"/>
      <c r="J79" s="70"/>
      <c r="K79" s="70"/>
      <c r="L79" s="70"/>
      <c r="M79" s="70"/>
      <c r="N79" s="70"/>
      <c r="O79" s="70"/>
    </row>
    <row r="80" spans="1:15" ht="34.5" customHeight="1" x14ac:dyDescent="0.2">
      <c r="A80" s="483" t="s">
        <v>86</v>
      </c>
      <c r="B80" s="484"/>
      <c r="C80" s="484"/>
      <c r="D80" s="484"/>
      <c r="E80" s="25"/>
      <c r="F80" s="350"/>
      <c r="G80" s="25"/>
      <c r="H80" s="25"/>
      <c r="I80" s="25"/>
      <c r="J80" s="25"/>
      <c r="K80" s="25"/>
      <c r="L80" s="25"/>
      <c r="M80" s="25"/>
      <c r="N80" s="25"/>
      <c r="O80" s="25"/>
    </row>
    <row r="81" spans="1:15" x14ac:dyDescent="0.2">
      <c r="A81" s="25"/>
      <c r="B81" s="25"/>
      <c r="C81" s="71"/>
      <c r="D81" s="42"/>
      <c r="E81" s="25"/>
      <c r="F81" s="350"/>
      <c r="G81" s="25"/>
      <c r="H81" s="25"/>
      <c r="I81" s="25"/>
      <c r="J81" s="25"/>
      <c r="K81" s="25"/>
      <c r="L81" s="25"/>
      <c r="M81" s="25"/>
      <c r="N81" s="25"/>
      <c r="O81" s="25"/>
    </row>
    <row r="82" spans="1:15" x14ac:dyDescent="0.2">
      <c r="A82" s="25" t="s">
        <v>91</v>
      </c>
      <c r="B82" s="25"/>
      <c r="C82" s="71"/>
      <c r="D82" s="42"/>
      <c r="E82" s="25"/>
      <c r="F82" s="350"/>
      <c r="G82" s="25"/>
      <c r="H82" s="25"/>
      <c r="I82" s="25"/>
      <c r="J82" s="25"/>
      <c r="K82" s="25"/>
      <c r="L82" s="25"/>
      <c r="M82" s="25"/>
      <c r="N82" s="25"/>
      <c r="O82" s="25"/>
    </row>
  </sheetData>
  <mergeCells count="8">
    <mergeCell ref="A15:D15"/>
    <mergeCell ref="A80:D80"/>
    <mergeCell ref="A74:D74"/>
    <mergeCell ref="A75:D75"/>
    <mergeCell ref="A76:D76"/>
    <mergeCell ref="A77:D77"/>
    <mergeCell ref="A78:D78"/>
    <mergeCell ref="A79:D79"/>
  </mergeCells>
  <pageMargins left="0.75" right="0.75" top="1" bottom="1" header="0.5" footer="0.5"/>
  <pageSetup scale="77"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zoomScaleNormal="100" workbookViewId="0">
      <selection activeCell="C9" sqref="C9"/>
    </sheetView>
  </sheetViews>
  <sheetFormatPr defaultRowHeight="12.75" x14ac:dyDescent="0.2"/>
  <cols>
    <col min="1" max="1" width="17.28515625" customWidth="1"/>
    <col min="2" max="2" width="67.140625" customWidth="1"/>
    <col min="3" max="4" width="17.28515625" customWidth="1"/>
  </cols>
  <sheetData>
    <row r="1" spans="1:4" ht="18.75" thickBot="1" x14ac:dyDescent="0.25">
      <c r="A1" s="322" t="s">
        <v>210</v>
      </c>
      <c r="B1" s="322"/>
      <c r="C1" s="323"/>
      <c r="D1" s="323"/>
    </row>
    <row r="2" spans="1:4" ht="15.75" x14ac:dyDescent="0.2">
      <c r="A2" s="324" t="s">
        <v>211</v>
      </c>
      <c r="B2" s="325" t="s">
        <v>212</v>
      </c>
      <c r="C2" s="325" t="s">
        <v>213</v>
      </c>
      <c r="D2" s="326" t="s">
        <v>214</v>
      </c>
    </row>
    <row r="3" spans="1:4" ht="42.75" x14ac:dyDescent="0.2">
      <c r="A3" s="327" t="s">
        <v>205</v>
      </c>
      <c r="B3" s="347" t="s">
        <v>235</v>
      </c>
      <c r="C3" s="329">
        <v>12698</v>
      </c>
      <c r="D3" s="330">
        <v>41813</v>
      </c>
    </row>
    <row r="4" spans="1:4" ht="28.5" x14ac:dyDescent="0.2">
      <c r="A4" s="327"/>
      <c r="B4" s="347" t="s">
        <v>263</v>
      </c>
      <c r="C4" s="329"/>
      <c r="D4" s="330">
        <v>42327</v>
      </c>
    </row>
    <row r="5" spans="1:4" ht="14.25" x14ac:dyDescent="0.2">
      <c r="A5" s="327"/>
      <c r="B5" s="328" t="s">
        <v>279</v>
      </c>
      <c r="C5" s="329"/>
      <c r="D5" s="331" t="s">
        <v>280</v>
      </c>
    </row>
    <row r="6" spans="1:4" ht="14.25" x14ac:dyDescent="0.2">
      <c r="A6" s="327" t="s">
        <v>315</v>
      </c>
      <c r="B6" s="328" t="s">
        <v>316</v>
      </c>
      <c r="C6" s="329"/>
      <c r="D6" s="443">
        <v>42668</v>
      </c>
    </row>
    <row r="7" spans="1:4" ht="14.25" x14ac:dyDescent="0.2">
      <c r="A7" s="327"/>
      <c r="B7" s="328"/>
      <c r="C7" s="329"/>
      <c r="D7" s="331"/>
    </row>
    <row r="8" spans="1:4" ht="14.25" x14ac:dyDescent="0.2">
      <c r="A8" s="327"/>
      <c r="B8" s="328"/>
      <c r="C8" s="329"/>
      <c r="D8" s="331"/>
    </row>
    <row r="9" spans="1:4" ht="14.25" x14ac:dyDescent="0.2">
      <c r="A9" s="327"/>
      <c r="B9" s="328"/>
      <c r="C9" s="329"/>
      <c r="D9" s="331"/>
    </row>
    <row r="10" spans="1:4" ht="15" thickBot="1" x14ac:dyDescent="0.25">
      <c r="A10" s="332"/>
      <c r="B10" s="333"/>
      <c r="C10" s="334"/>
      <c r="D10" s="335"/>
    </row>
  </sheetData>
  <pageMargins left="0.7" right="0.7" top="0.75" bottom="0.75" header="0.3" footer="0.3"/>
  <pageSetup scale="77"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7"/>
  <sheetViews>
    <sheetView workbookViewId="0">
      <selection activeCell="C26" sqref="C26"/>
    </sheetView>
  </sheetViews>
  <sheetFormatPr defaultColWidth="9.140625" defaultRowHeight="12.75" x14ac:dyDescent="0.2"/>
  <cols>
    <col min="1" max="1" width="30.42578125" style="92" customWidth="1"/>
    <col min="2" max="2" width="26" style="92" bestFit="1" customWidth="1"/>
    <col min="3" max="3" width="24.140625" style="92" customWidth="1"/>
    <col min="4" max="4" width="20.7109375" style="92" customWidth="1"/>
    <col min="5" max="5" width="23.140625" style="92" customWidth="1"/>
    <col min="6" max="6" width="23.28515625" style="92" customWidth="1"/>
    <col min="7" max="7" width="18.7109375" style="92" customWidth="1"/>
    <col min="8" max="8" width="13.7109375" style="92" customWidth="1"/>
    <col min="9" max="9" width="30.7109375" style="92" customWidth="1"/>
    <col min="10" max="10" width="13.28515625" style="92" customWidth="1"/>
    <col min="11" max="11" width="24.85546875" style="92" customWidth="1"/>
    <col min="12" max="16384" width="9.140625" style="92"/>
  </cols>
  <sheetData>
    <row r="1" spans="1:15" ht="36.75" customHeight="1" thickBot="1" x14ac:dyDescent="0.25">
      <c r="A1" s="242" t="s">
        <v>109</v>
      </c>
      <c r="B1" s="242" t="s">
        <v>167</v>
      </c>
      <c r="C1" s="146" t="s">
        <v>132</v>
      </c>
      <c r="D1" s="146" t="s">
        <v>141</v>
      </c>
      <c r="E1" s="259" t="s">
        <v>197</v>
      </c>
      <c r="F1" s="146" t="s">
        <v>142</v>
      </c>
      <c r="G1" s="146" t="s">
        <v>150</v>
      </c>
      <c r="H1" s="341" t="s">
        <v>221</v>
      </c>
      <c r="I1" s="341" t="s">
        <v>226</v>
      </c>
      <c r="J1" s="341" t="s">
        <v>227</v>
      </c>
      <c r="K1" s="341" t="s">
        <v>228</v>
      </c>
    </row>
    <row r="2" spans="1:15" ht="24.75" customHeight="1" thickTop="1" x14ac:dyDescent="0.2">
      <c r="A2" s="94" t="s">
        <v>110</v>
      </c>
      <c r="B2" s="108">
        <f>52-D11</f>
        <v>42.52115858655317</v>
      </c>
      <c r="C2" s="147" t="s">
        <v>133</v>
      </c>
      <c r="D2" s="147" t="s">
        <v>143</v>
      </c>
      <c r="E2" s="147" t="s">
        <v>164</v>
      </c>
      <c r="F2" s="147" t="s">
        <v>147</v>
      </c>
      <c r="G2" s="147" t="s">
        <v>151</v>
      </c>
      <c r="H2" s="342" t="s">
        <v>222</v>
      </c>
      <c r="I2" s="342">
        <v>1.6</v>
      </c>
      <c r="J2" s="344" t="s">
        <v>229</v>
      </c>
      <c r="K2" s="343">
        <v>0.43</v>
      </c>
    </row>
    <row r="3" spans="1:15" ht="30" customHeight="1" x14ac:dyDescent="0.2">
      <c r="A3" s="93" t="s">
        <v>111</v>
      </c>
      <c r="B3" s="109">
        <f>55.2-D13</f>
        <v>44.924130132398517</v>
      </c>
      <c r="C3" s="148" t="s">
        <v>134</v>
      </c>
      <c r="D3" s="148" t="s">
        <v>144</v>
      </c>
      <c r="E3" s="260" t="s">
        <v>198</v>
      </c>
      <c r="F3" s="148" t="s">
        <v>148</v>
      </c>
      <c r="G3" s="148" t="s">
        <v>152</v>
      </c>
      <c r="H3" s="339" t="s">
        <v>223</v>
      </c>
      <c r="I3" s="339">
        <v>1.5</v>
      </c>
      <c r="J3" s="345" t="s">
        <v>230</v>
      </c>
      <c r="K3" s="340">
        <v>0.68</v>
      </c>
      <c r="L3" s="149"/>
      <c r="O3" s="149"/>
    </row>
    <row r="4" spans="1:15" ht="24.75" customHeight="1" x14ac:dyDescent="0.2">
      <c r="A4" s="93" t="s">
        <v>165</v>
      </c>
      <c r="B4" s="109">
        <f>56.3-D13</f>
        <v>46.024130132398511</v>
      </c>
      <c r="C4" s="148"/>
      <c r="D4" s="148" t="s">
        <v>145</v>
      </c>
      <c r="E4" s="148"/>
      <c r="F4" s="148" t="s">
        <v>149</v>
      </c>
      <c r="G4" s="148"/>
      <c r="H4" s="339" t="s">
        <v>224</v>
      </c>
      <c r="I4" s="339">
        <v>2</v>
      </c>
      <c r="J4" s="345" t="s">
        <v>231</v>
      </c>
      <c r="K4" s="340">
        <v>0.43</v>
      </c>
      <c r="L4" s="149"/>
      <c r="O4" s="149"/>
    </row>
    <row r="5" spans="1:15" ht="24.75" customHeight="1" x14ac:dyDescent="0.2">
      <c r="A5" s="93" t="s">
        <v>112</v>
      </c>
      <c r="B5" s="109">
        <f>56.3-D13</f>
        <v>46.024130132398511</v>
      </c>
      <c r="C5" s="93"/>
      <c r="D5" s="148" t="s">
        <v>146</v>
      </c>
      <c r="E5" s="148"/>
      <c r="F5" s="148" t="s">
        <v>200</v>
      </c>
      <c r="G5" s="93"/>
      <c r="H5" s="339" t="s">
        <v>225</v>
      </c>
      <c r="I5" s="339">
        <v>2.2999999999999998</v>
      </c>
      <c r="J5" s="345" t="s">
        <v>232</v>
      </c>
      <c r="K5" s="340">
        <v>0.43</v>
      </c>
      <c r="L5" s="149"/>
      <c r="O5" s="149"/>
    </row>
    <row r="6" spans="1:15" ht="24.75" customHeight="1" x14ac:dyDescent="0.2">
      <c r="A6" s="148" t="s">
        <v>208</v>
      </c>
      <c r="B6" s="109">
        <f>56.3-D13</f>
        <v>46.024130132398511</v>
      </c>
      <c r="C6" s="148"/>
      <c r="D6" s="148" t="s">
        <v>199</v>
      </c>
      <c r="E6" s="148"/>
      <c r="F6" s="148"/>
      <c r="G6" s="148"/>
      <c r="H6" s="340"/>
      <c r="I6" s="340"/>
      <c r="J6" s="345" t="s">
        <v>233</v>
      </c>
      <c r="K6" s="340">
        <v>0.08</v>
      </c>
      <c r="L6" s="149"/>
      <c r="O6" s="149"/>
    </row>
    <row r="7" spans="1:15" ht="24.75" customHeight="1" x14ac:dyDescent="0.2">
      <c r="A7" s="148"/>
      <c r="B7" s="109"/>
      <c r="C7" s="93"/>
      <c r="D7" s="93"/>
      <c r="E7" s="93"/>
      <c r="F7" s="93"/>
      <c r="G7" s="93"/>
      <c r="H7" s="340"/>
      <c r="I7" s="340"/>
      <c r="J7" s="340"/>
      <c r="K7" s="340"/>
      <c r="L7" s="149"/>
    </row>
    <row r="8" spans="1:15" ht="22.5" customHeight="1" x14ac:dyDescent="0.2">
      <c r="A8" s="91"/>
      <c r="B8" s="91"/>
      <c r="C8" s="91"/>
      <c r="D8" s="91"/>
      <c r="E8" s="91"/>
    </row>
    <row r="9" spans="1:15" ht="24.75" customHeight="1" x14ac:dyDescent="0.2">
      <c r="A9" s="490"/>
      <c r="B9" s="487" t="s">
        <v>184</v>
      </c>
      <c r="C9" s="486" t="s">
        <v>118</v>
      </c>
      <c r="D9" s="486"/>
      <c r="E9" s="486" t="s">
        <v>117</v>
      </c>
    </row>
    <row r="10" spans="1:15" ht="24.75" customHeight="1" thickBot="1" x14ac:dyDescent="0.25">
      <c r="A10" s="491"/>
      <c r="B10" s="488"/>
      <c r="C10" s="242" t="s">
        <v>114</v>
      </c>
      <c r="D10" s="97" t="s">
        <v>115</v>
      </c>
      <c r="E10" s="489"/>
    </row>
    <row r="11" spans="1:15" ht="24.75" customHeight="1" thickTop="1" x14ac:dyDescent="0.2">
      <c r="A11" s="96" t="s">
        <v>189</v>
      </c>
      <c r="B11" s="94">
        <v>10.5</v>
      </c>
      <c r="C11" s="225">
        <f>B11*(8.375/2)^2*PI()</f>
        <v>578.42733957276607</v>
      </c>
      <c r="D11" s="225">
        <f t="shared" ref="D11:D16" si="0">C11/61.023</f>
        <v>9.4788414134468315</v>
      </c>
      <c r="E11" s="98" t="b">
        <v>0</v>
      </c>
    </row>
    <row r="12" spans="1:15" ht="24.75" customHeight="1" x14ac:dyDescent="0.2">
      <c r="A12" s="96" t="s">
        <v>190</v>
      </c>
      <c r="B12" s="94">
        <v>10</v>
      </c>
      <c r="C12" s="225">
        <f>B12*(8.375/2)^2*PI()</f>
        <v>550.88318054549143</v>
      </c>
      <c r="D12" s="225">
        <f t="shared" si="0"/>
        <v>9.027468012806505</v>
      </c>
      <c r="E12" s="98" t="b">
        <v>0</v>
      </c>
    </row>
    <row r="13" spans="1:15" ht="24.75" customHeight="1" x14ac:dyDescent="0.2">
      <c r="A13" s="96" t="s">
        <v>186</v>
      </c>
      <c r="B13" s="94">
        <v>10.5</v>
      </c>
      <c r="C13" s="225">
        <f t="shared" ref="C13:C16" si="1">B13*(8.72/2)^2*PI()</f>
        <v>627.06440693064565</v>
      </c>
      <c r="D13" s="225">
        <f t="shared" si="0"/>
        <v>10.275869867601488</v>
      </c>
      <c r="E13" s="98" t="b">
        <v>1</v>
      </c>
    </row>
    <row r="14" spans="1:15" ht="24.75" customHeight="1" x14ac:dyDescent="0.2">
      <c r="A14" s="96" t="s">
        <v>185</v>
      </c>
      <c r="B14" s="94">
        <v>10</v>
      </c>
      <c r="C14" s="225">
        <f t="shared" si="1"/>
        <v>597.20419707680537</v>
      </c>
      <c r="D14" s="225">
        <f t="shared" si="0"/>
        <v>9.7865427310490354</v>
      </c>
      <c r="E14" s="98" t="b">
        <v>0</v>
      </c>
    </row>
    <row r="15" spans="1:15" ht="24.75" customHeight="1" x14ac:dyDescent="0.2">
      <c r="A15" s="95" t="s">
        <v>188</v>
      </c>
      <c r="B15" s="93">
        <v>14.85</v>
      </c>
      <c r="C15" s="226">
        <f t="shared" si="1"/>
        <v>886.84823265905595</v>
      </c>
      <c r="D15" s="226">
        <f t="shared" si="0"/>
        <v>14.533015955607819</v>
      </c>
      <c r="E15" s="99" t="b">
        <v>1</v>
      </c>
    </row>
    <row r="16" spans="1:15" ht="24.75" customHeight="1" x14ac:dyDescent="0.2">
      <c r="A16" s="95" t="s">
        <v>220</v>
      </c>
      <c r="B16" s="93">
        <v>5.75</v>
      </c>
      <c r="C16" s="226">
        <f t="shared" si="1"/>
        <v>343.3924133191631</v>
      </c>
      <c r="D16" s="226">
        <f t="shared" si="0"/>
        <v>5.6272620703531961</v>
      </c>
      <c r="E16" s="99" t="b">
        <v>0</v>
      </c>
    </row>
    <row r="17" spans="1:8" ht="24.75" customHeight="1" x14ac:dyDescent="0.2">
      <c r="A17" s="95" t="s">
        <v>219</v>
      </c>
      <c r="B17" s="93">
        <v>5.75</v>
      </c>
      <c r="C17" s="226">
        <f t="shared" ref="C17" si="2">B17*(8.72/2)^2*PI()</f>
        <v>343.3924133191631</v>
      </c>
      <c r="D17" s="226">
        <f t="shared" ref="D17" si="3">C17/61.023</f>
        <v>5.6272620703531961</v>
      </c>
      <c r="E17" s="99" t="b">
        <v>0</v>
      </c>
      <c r="H17" s="149"/>
    </row>
    <row r="18" spans="1:8" ht="24.75" customHeight="1" x14ac:dyDescent="0.2">
      <c r="A18" s="95" t="s">
        <v>234</v>
      </c>
      <c r="B18" s="93">
        <v>15.75</v>
      </c>
      <c r="C18" s="226">
        <f t="shared" ref="C18" si="4">B18*(8.72/2)^2*PI()</f>
        <v>940.59661039596847</v>
      </c>
      <c r="D18" s="226">
        <f t="shared" ref="D18" si="5">C18/61.023</f>
        <v>15.413804801402232</v>
      </c>
      <c r="E18" s="99" t="b">
        <v>0</v>
      </c>
      <c r="H18" s="149"/>
    </row>
    <row r="19" spans="1:8" ht="24.75" customHeight="1" x14ac:dyDescent="0.2">
      <c r="A19" s="95" t="s">
        <v>168</v>
      </c>
      <c r="B19" s="255" t="s">
        <v>164</v>
      </c>
      <c r="C19" s="256" t="s">
        <v>164</v>
      </c>
      <c r="D19" s="226">
        <v>0.432</v>
      </c>
      <c r="E19" s="254" t="b">
        <v>1</v>
      </c>
      <c r="H19" s="149"/>
    </row>
    <row r="20" spans="1:8" ht="24.75" customHeight="1" x14ac:dyDescent="0.2">
      <c r="A20" s="95" t="s">
        <v>206</v>
      </c>
      <c r="B20" s="255" t="s">
        <v>164</v>
      </c>
      <c r="C20" s="256" t="s">
        <v>164</v>
      </c>
      <c r="D20" s="226">
        <v>5.58</v>
      </c>
      <c r="E20" s="254" t="b">
        <v>0</v>
      </c>
      <c r="H20" s="149"/>
    </row>
    <row r="21" spans="1:8" ht="24.75" customHeight="1" x14ac:dyDescent="0.2">
      <c r="A21" s="95" t="s">
        <v>207</v>
      </c>
      <c r="B21" s="255" t="s">
        <v>164</v>
      </c>
      <c r="C21" s="256" t="s">
        <v>164</v>
      </c>
      <c r="D21" s="226">
        <v>1.48</v>
      </c>
      <c r="E21" s="254" t="b">
        <v>0</v>
      </c>
      <c r="H21" s="149"/>
    </row>
    <row r="22" spans="1:8" x14ac:dyDescent="0.2">
      <c r="A22" s="143"/>
      <c r="B22" s="143"/>
      <c r="C22" s="143"/>
      <c r="D22" s="143"/>
      <c r="E22" s="143"/>
      <c r="F22" s="143"/>
    </row>
    <row r="23" spans="1:8" x14ac:dyDescent="0.2">
      <c r="A23" s="110"/>
      <c r="B23" s="111"/>
      <c r="C23" s="111"/>
      <c r="D23" s="111"/>
      <c r="E23" s="144"/>
      <c r="F23" s="143"/>
    </row>
    <row r="24" spans="1:8" x14ac:dyDescent="0.2">
      <c r="A24" s="110"/>
      <c r="B24" s="111"/>
      <c r="C24" s="111"/>
      <c r="D24" s="111"/>
      <c r="E24" s="144"/>
      <c r="F24" s="143"/>
      <c r="H24" s="149"/>
    </row>
    <row r="25" spans="1:8" x14ac:dyDescent="0.2">
      <c r="A25" s="143"/>
      <c r="B25" s="143"/>
      <c r="C25" s="143"/>
      <c r="D25" s="143"/>
      <c r="E25" s="143"/>
      <c r="F25" s="143"/>
      <c r="H25" s="149"/>
    </row>
    <row r="26" spans="1:8" x14ac:dyDescent="0.2">
      <c r="A26" s="143"/>
      <c r="B26" s="143"/>
      <c r="C26" s="143"/>
      <c r="D26" s="143"/>
      <c r="E26" s="143"/>
      <c r="F26" s="143"/>
    </row>
    <row r="27" spans="1:8" x14ac:dyDescent="0.2">
      <c r="A27" s="143"/>
      <c r="B27" s="143"/>
      <c r="C27" s="143"/>
      <c r="D27" s="143"/>
      <c r="E27" s="143"/>
      <c r="F27" s="143"/>
    </row>
  </sheetData>
  <mergeCells count="4">
    <mergeCell ref="C9:D9"/>
    <mergeCell ref="B9:B10"/>
    <mergeCell ref="E9:E10"/>
    <mergeCell ref="A9:A10"/>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4D24406CDA17479D8DE77C77473EA7" ma:contentTypeVersion="12" ma:contentTypeDescription="Create a new document." ma:contentTypeScope="" ma:versionID="a23457bcb946a0db93ca46ecc94bd40c">
  <xsd:schema xmlns:xsd="http://www.w3.org/2001/XMLSchema" xmlns:xs="http://www.w3.org/2001/XMLSchema" xmlns:p="http://schemas.microsoft.com/office/2006/metadata/properties" xmlns:ns2="d2c3065d-3e18-4744-81f3-ed13ad3f6416" xmlns:ns3="b4338947-6af7-478f-92c3-71e91a8aa012" targetNamespace="http://schemas.microsoft.com/office/2006/metadata/properties" ma:root="true" ma:fieldsID="8dae517cddd1594b2ede7292dae04ce0" ns2:_="" ns3:_="">
    <xsd:import namespace="d2c3065d-3e18-4744-81f3-ed13ad3f6416"/>
    <xsd:import namespace="b4338947-6af7-478f-92c3-71e91a8aa0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c3065d-3e18-4744-81f3-ed13ad3f64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4338947-6af7-478f-92c3-71e91a8aa01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7C0029-AE90-4637-BF72-7356D4F4D8AD}"/>
</file>

<file path=customXml/itemProps2.xml><?xml version="1.0" encoding="utf-8"?>
<ds:datastoreItem xmlns:ds="http://schemas.openxmlformats.org/officeDocument/2006/customXml" ds:itemID="{995038EA-E9FD-40B6-9A0B-14DD30DDFF4C}">
  <ds:schemaRefs>
    <ds:schemaRef ds:uri="http://purl.org/dc/terms/"/>
    <ds:schemaRef ds:uri="http://schemas.openxmlformats.org/package/2006/metadata/core-properties"/>
    <ds:schemaRef ds:uri="http://schemas.microsoft.com/office/2006/documentManagement/types"/>
    <ds:schemaRef ds:uri="http://purl.org/dc/dcmitype/"/>
    <ds:schemaRef ds:uri="c8b2687d-f71e-44f8-a545-e0688c32fe88"/>
    <ds:schemaRef ds:uri="efb708aa-695a-45c5-9e85-fea3be540249"/>
    <ds:schemaRef ds:uri="http://purl.org/dc/elements/1.1/"/>
    <ds:schemaRef ds:uri="http://schemas.microsoft.com/office/2006/metadata/properti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9C7C102C-32FA-4EA8-ADD3-7540A2F1F80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33</vt:i4>
      </vt:variant>
    </vt:vector>
  </HeadingPairs>
  <TitlesOfParts>
    <vt:vector size="44" baseType="lpstr">
      <vt:lpstr>Ballast</vt:lpstr>
      <vt:lpstr>Worksheet</vt:lpstr>
      <vt:lpstr>G1 Shallow</vt:lpstr>
      <vt:lpstr>G1 Deep</vt:lpstr>
      <vt:lpstr>G2</vt:lpstr>
      <vt:lpstr>Ballast Drive</vt:lpstr>
      <vt:lpstr>G2 DVL</vt:lpstr>
      <vt:lpstr>G2 EN</vt:lpstr>
      <vt:lpstr>G2 EnergySci Bay</vt:lpstr>
      <vt:lpstr>Revision History</vt:lpstr>
      <vt:lpstr>Constants</vt:lpstr>
      <vt:lpstr>'G2'!aft_config</vt:lpstr>
      <vt:lpstr>'G2 DVL'!aft_config</vt:lpstr>
      <vt:lpstr>'G2 EN'!aft_config</vt:lpstr>
      <vt:lpstr>'G2 EnergySci Bay'!aft_config</vt:lpstr>
      <vt:lpstr>aft_config</vt:lpstr>
      <vt:lpstr>'G2'!battery_type</vt:lpstr>
      <vt:lpstr>'G2 DVL'!battery_type</vt:lpstr>
      <vt:lpstr>'G2 EN'!battery_type</vt:lpstr>
      <vt:lpstr>'G2 EnergySci Bay'!battery_type</vt:lpstr>
      <vt:lpstr>battery_type</vt:lpstr>
      <vt:lpstr>glider_type</vt:lpstr>
      <vt:lpstr>'G2'!nose_config</vt:lpstr>
      <vt:lpstr>'G2 DVL'!nose_config</vt:lpstr>
      <vt:lpstr>'G2 EN'!nose_config</vt:lpstr>
      <vt:lpstr>'G2 EnergySci Bay'!nose_config</vt:lpstr>
      <vt:lpstr>nose_config</vt:lpstr>
      <vt:lpstr>pinger_style</vt:lpstr>
      <vt:lpstr>pond_wings</vt:lpstr>
      <vt:lpstr>Ballast!Print_Area</vt:lpstr>
      <vt:lpstr>'G1 Deep'!Print_Area</vt:lpstr>
      <vt:lpstr>'G1 Shallow'!Print_Area</vt:lpstr>
      <vt:lpstr>'G2'!Print_Area</vt:lpstr>
      <vt:lpstr>'G2 DVL'!Print_Area</vt:lpstr>
      <vt:lpstr>'G2 EN'!Print_Area</vt:lpstr>
      <vt:lpstr>'G2 EnergySci Bay'!Print_Area</vt:lpstr>
      <vt:lpstr>'Revision History'!Print_Area</vt:lpstr>
      <vt:lpstr>Worksheet!Print_Area</vt:lpstr>
      <vt:lpstr>Ballast!Print_Titles</vt:lpstr>
      <vt:lpstr>'G2'!weight_type</vt:lpstr>
      <vt:lpstr>'G2 DVL'!weight_type</vt:lpstr>
      <vt:lpstr>'G2 EN'!weight_type</vt:lpstr>
      <vt:lpstr>'G2 EnergySci Bay'!weight_type</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Barham, Mark C.</cp:lastModifiedBy>
  <cp:lastPrinted>2014-05-15T17:59:22Z</cp:lastPrinted>
  <dcterms:created xsi:type="dcterms:W3CDTF">2004-03-12T20:33:34Z</dcterms:created>
  <dcterms:modified xsi:type="dcterms:W3CDTF">2021-08-19T14:15:55Z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F</vt:lpwstr>
  </property>
  <property fmtid="{D5CDD505-2E9C-101B-9397-08002B2CF9AE}" pid="5" name="Document Number">
    <vt:lpwstr>4095-GBPSH</vt:lpwstr>
  </property>
  <property fmtid="{D5CDD505-2E9C-101B-9397-08002B2CF9AE}" pid="6" name="Date">
    <vt:filetime>2011-02-23T00:00:00Z</vt:filetime>
  </property>
  <property fmtid="{D5CDD505-2E9C-101B-9397-08002B2CF9AE}" pid="7" name="ContentTypeId">
    <vt:lpwstr>0x010100814D24406CDA17479D8DE77C77473EA7</vt:lpwstr>
  </property>
</Properties>
</file>