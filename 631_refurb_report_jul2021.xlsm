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marbar\OneDrive - NERC\Gliders\Glider 631\Refurbishment\631_Jul_2021\"/>
    </mc:Choice>
  </mc:AlternateContent>
  <bookViews>
    <workbookView xWindow="0" yWindow="0" windowWidth="16080" windowHeight="7050" firstSheet="1" activeTab="1"/>
  </bookViews>
  <sheets>
    <sheet name="LOOKUP" sheetId="2" r:id="rId1"/>
    <sheet name="REFURB" sheetId="1" r:id="rId2"/>
    <sheet name="COMPASS" sheetId="3" r:id="rId3"/>
  </sheets>
  <definedNames>
    <definedName name="_xlnm.Print_Area" localSheetId="1">REFURB!$A$1:$J$254</definedName>
  </definedNames>
  <calcPr calcId="162913"/>
</workbook>
</file>

<file path=xl/calcChain.xml><?xml version="1.0" encoding="utf-8"?>
<calcChain xmlns="http://schemas.openxmlformats.org/spreadsheetml/2006/main">
  <c r="D227" i="1" l="1"/>
  <c r="C3" i="3" s="1"/>
  <c r="D3" i="3" s="1"/>
  <c r="D11" i="3" s="1"/>
  <c r="D228" i="1"/>
  <c r="C4" i="3" s="1"/>
  <c r="D4" i="3" s="1"/>
  <c r="D229" i="1"/>
  <c r="C5" i="3" s="1"/>
  <c r="D5" i="3" s="1"/>
  <c r="F113" i="1"/>
  <c r="F112" i="1"/>
  <c r="F82" i="1"/>
  <c r="F81" i="1"/>
  <c r="F127" i="1"/>
  <c r="F126" i="1"/>
  <c r="B154" i="1"/>
  <c r="B153" i="1"/>
  <c r="B152" i="1"/>
  <c r="B151" i="1"/>
  <c r="B150" i="1"/>
  <c r="G104" i="1"/>
  <c r="G103" i="1"/>
  <c r="G102" i="1"/>
  <c r="G101" i="1"/>
  <c r="G100" i="1"/>
  <c r="B104" i="1"/>
  <c r="B103" i="1"/>
  <c r="B102" i="1"/>
  <c r="B101" i="1"/>
  <c r="D234" i="1"/>
  <c r="C10" i="3" s="1"/>
  <c r="D10" i="3" s="1"/>
  <c r="D233" i="1"/>
  <c r="C9" i="3" s="1"/>
  <c r="D9" i="3" s="1"/>
  <c r="D232" i="1"/>
  <c r="C8" i="3" s="1"/>
  <c r="D8" i="3" s="1"/>
  <c r="D231" i="1"/>
  <c r="C7" i="3" s="1"/>
  <c r="D7" i="3" s="1"/>
  <c r="D230" i="1"/>
  <c r="C6" i="3" s="1"/>
  <c r="D6" i="3" s="1"/>
  <c r="D243" i="1"/>
  <c r="F4" i="3" s="1"/>
  <c r="G4" i="3" s="1"/>
  <c r="D244" i="1"/>
  <c r="F5" i="3" s="1"/>
  <c r="G5" i="3" s="1"/>
  <c r="D245" i="1"/>
  <c r="F6" i="3"/>
  <c r="G6" i="3" s="1"/>
  <c r="D246" i="1"/>
  <c r="F7" i="3"/>
  <c r="G7" i="3"/>
  <c r="D247" i="1"/>
  <c r="F8" i="3" s="1"/>
  <c r="G8" i="3" s="1"/>
  <c r="D248" i="1"/>
  <c r="F9" i="3" s="1"/>
  <c r="G9" i="3" s="1"/>
  <c r="D249" i="1"/>
  <c r="F10" i="3"/>
  <c r="G10" i="3" s="1"/>
  <c r="D242" i="1"/>
  <c r="F3" i="3"/>
  <c r="G3" i="3"/>
  <c r="G11" i="3" s="1"/>
</calcChain>
</file>

<file path=xl/sharedStrings.xml><?xml version="1.0" encoding="utf-8"?>
<sst xmlns="http://schemas.openxmlformats.org/spreadsheetml/2006/main" count="551" uniqueCount="245">
  <si>
    <t>YES</t>
  </si>
  <si>
    <t>OPTODE</t>
  </si>
  <si>
    <t>SLOCUM TWR FWD</t>
  </si>
  <si>
    <t>1000M</t>
  </si>
  <si>
    <t>NO</t>
  </si>
  <si>
    <t>ADCP</t>
  </si>
  <si>
    <t>SLOCUM TWR AFT</t>
  </si>
  <si>
    <t>200M</t>
  </si>
  <si>
    <t>N/A</t>
  </si>
  <si>
    <t>WETLABS</t>
  </si>
  <si>
    <t>SLOCUM TWR EMERGENCY</t>
  </si>
  <si>
    <t>NOT CHECKED</t>
  </si>
  <si>
    <t>CT_SAIL</t>
  </si>
  <si>
    <t>SLOCUM STEATITE SHORT EMERGENCY</t>
  </si>
  <si>
    <t>SEE NOTES</t>
  </si>
  <si>
    <t>PAR</t>
  </si>
  <si>
    <t>SLOCUM STEATITE FWD</t>
  </si>
  <si>
    <t>MICRORIDER</t>
  </si>
  <si>
    <t>SLOCUM STEATITE AFT</t>
  </si>
  <si>
    <t>PAM</t>
  </si>
  <si>
    <t>SLOCUM STEATITE EMERGENCY</t>
  </si>
  <si>
    <t>LoC</t>
  </si>
  <si>
    <t>ECHOSOUNDER</t>
  </si>
  <si>
    <t>Slocum Glider Refurbishment Report</t>
  </si>
  <si>
    <t>ORIGINAL CONFIGURATION</t>
  </si>
  <si>
    <t>TASK</t>
  </si>
  <si>
    <t>REQUIRED?</t>
  </si>
  <si>
    <t>COMPLETED</t>
  </si>
  <si>
    <t>PART</t>
  </si>
  <si>
    <t>TYPE</t>
  </si>
  <si>
    <t>S/N</t>
  </si>
  <si>
    <t>1. PRE-REFURB CHECKS</t>
  </si>
  <si>
    <t>2. VISUAL INSPECTION</t>
  </si>
  <si>
    <t>3. BACKUP AND FORMAT CF CARDS</t>
  </si>
  <si>
    <t>4. RECORD SERIAL NUMBERS AND WEIGHTS</t>
  </si>
  <si>
    <t>5. REPLACE BATTERIES</t>
  </si>
  <si>
    <t>6. SENSORS CALIBRATION</t>
  </si>
  <si>
    <t>7. REASSEMBLE GLIDER, RECORD SERIAL NUMBERS AND WEIGHTS</t>
  </si>
  <si>
    <t>8. UPDATE FILES</t>
  </si>
  <si>
    <t>9. SENSORS CHECK</t>
  </si>
  <si>
    <t>10. REBALLAST AND UPDATE SPREADHSHEET</t>
  </si>
  <si>
    <t>NEW CONFIGURATION</t>
  </si>
  <si>
    <t>11. SIMULATED DIVES</t>
  </si>
  <si>
    <t>12. FUNCTIONAL CHECKOUT AND JIRA FAULT LOGGING</t>
  </si>
  <si>
    <t>13. COMPASS CHECK</t>
  </si>
  <si>
    <t>14. CALIBRATE COMPASS</t>
  </si>
  <si>
    <t>Run status.mi and note any failures/oddities. Take a dry weight and test the current ballasting with the glider fully assembled. Note any differences between current and last deployed configuration.</t>
  </si>
  <si>
    <t>Terminal session log file number</t>
  </si>
  <si>
    <t>All-up glider dry weight (g)</t>
  </si>
  <si>
    <r>
      <t>Tank temperature (°</t>
    </r>
    <r>
      <rPr>
        <b/>
        <sz val="8"/>
        <color theme="1"/>
        <rFont val="Calibri"/>
        <family val="2"/>
      </rPr>
      <t>C)</t>
    </r>
  </si>
  <si>
    <r>
      <t>Tank Density (kg/m</t>
    </r>
    <r>
      <rPr>
        <b/>
        <vertAlign val="superscript"/>
        <sz val="8"/>
        <color theme="1"/>
        <rFont val="Calibri"/>
        <family val="2"/>
        <scheme val="minor"/>
      </rPr>
      <t>3</t>
    </r>
    <r>
      <rPr>
        <b/>
        <sz val="8"/>
        <color theme="1"/>
        <rFont val="Calibri"/>
        <family val="2"/>
        <scheme val="minor"/>
      </rPr>
      <t>)</t>
    </r>
  </si>
  <si>
    <t>Fwd weight in ballast mode (g)</t>
  </si>
  <si>
    <t>Fwd scale position (in)</t>
  </si>
  <si>
    <t>(measured from fwd hull/nose joint ring)</t>
  </si>
  <si>
    <t>Aft weight in ballast mode (g)</t>
  </si>
  <si>
    <t>At scale position (in)</t>
  </si>
  <si>
    <t>Calculate h-moment using either pitch battery or roll method. If using pitch battery method, plot the glider pitch in radians as the glider sinks, and take an average of the flat portion of the profile just before the glider touches the tank floor</t>
  </si>
  <si>
    <t>Port roll (radians)</t>
  </si>
  <si>
    <t>(measured with glider suspended from wing root)</t>
  </si>
  <si>
    <t>Starboard roll (radians)</t>
  </si>
  <si>
    <t>Battery position 1 (in)</t>
  </si>
  <si>
    <t>(m_battpos, set to 0)</t>
  </si>
  <si>
    <t>Pitch position 1 (radians)</t>
  </si>
  <si>
    <t>(m_pitch measured as glider sinks)</t>
  </si>
  <si>
    <t>Battery position 2 (in)</t>
  </si>
  <si>
    <t>(m_battpos, set to 0.25)</t>
  </si>
  <si>
    <t>Pitch position 2</t>
  </si>
  <si>
    <t>Notes</t>
  </si>
  <si>
    <t>Clean the glider and note any damage/corrosion in the sections below. Check for bent CT temperature probes and bent/missing pins on each connector. Examine bladder condition carefully</t>
  </si>
  <si>
    <t>Hull sections</t>
  </si>
  <si>
    <t>Other sensors</t>
  </si>
  <si>
    <t>Air bladder</t>
  </si>
  <si>
    <t>IE55 Connectors</t>
  </si>
  <si>
    <t>CT sail</t>
  </si>
  <si>
    <t>m_tot_num _inflections</t>
  </si>
  <si>
    <t>Wings</t>
  </si>
  <si>
    <t>m_coulomb_amphr_total</t>
  </si>
  <si>
    <t>Strobe</t>
  </si>
  <si>
    <t>boot pico</t>
  </si>
  <si>
    <t>CF cards backup location</t>
  </si>
  <si>
    <t>flight card formatted?</t>
  </si>
  <si>
    <t>sci card formatted?</t>
  </si>
  <si>
    <t>Firmware updated?</t>
  </si>
  <si>
    <t>GliderDos version</t>
  </si>
  <si>
    <t>SciDos version</t>
  </si>
  <si>
    <t>Check that all serial numbers match the pre-refurb trimsheet. Update if required</t>
  </si>
  <si>
    <t>Pre-refurb trim sheet file number</t>
  </si>
  <si>
    <t>-</t>
  </si>
  <si>
    <t>Emergency battery 1 type</t>
  </si>
  <si>
    <t>Voltage</t>
  </si>
  <si>
    <t>Weight (g)</t>
  </si>
  <si>
    <t>s/n</t>
  </si>
  <si>
    <t>Pitch battery type</t>
  </si>
  <si>
    <t>Aft battery type</t>
  </si>
  <si>
    <t>Buoyancy pump type</t>
  </si>
  <si>
    <t>CT Sail</t>
  </si>
  <si>
    <t>Sensor 2</t>
  </si>
  <si>
    <t>Sensor 3</t>
  </si>
  <si>
    <t>Fwd hull s/n</t>
  </si>
  <si>
    <t>Sensor 4</t>
  </si>
  <si>
    <t>Aft hull s/n</t>
  </si>
  <si>
    <t>Sensor 5</t>
  </si>
  <si>
    <t>Strobe s/n</t>
  </si>
  <si>
    <t>Science bay s/n</t>
  </si>
  <si>
    <t>Add-on bay s/n</t>
  </si>
  <si>
    <t>Thruster s/n</t>
  </si>
  <si>
    <t>Digifin s/n</t>
  </si>
  <si>
    <t>Argos s/n</t>
  </si>
  <si>
    <t>Freewave number</t>
  </si>
  <si>
    <t>Check that ballast configuration matches the pre-refurb trimsheet. Update if required</t>
  </si>
  <si>
    <t>Nose bottle port weight (g)</t>
  </si>
  <si>
    <t>Nose bottle starboard weight (g)</t>
  </si>
  <si>
    <t>Nose bottle/tube bottom (g)</t>
  </si>
  <si>
    <t>Nose plates weight (g)</t>
  </si>
  <si>
    <t>Add-on bay fwd pie weights (g)</t>
  </si>
  <si>
    <t>Aft bottle top weight (g)</t>
  </si>
  <si>
    <t>Science bay aft pie weights (g)</t>
  </si>
  <si>
    <t>Science bay fwd pie weights (g)</t>
  </si>
  <si>
    <t>Stbd wing rail weights (number)</t>
  </si>
  <si>
    <t>weight (g)</t>
  </si>
  <si>
    <t>Science bay bar disc weights (g)</t>
  </si>
  <si>
    <t>Port wing rail weights (number)</t>
  </si>
  <si>
    <t>Record details of new batteries. Label each battery with s/n in visible location. Check jumper lead on electronics board is wired correctly for battery type installed.</t>
  </si>
  <si>
    <t>New emergency battery 1 type</t>
  </si>
  <si>
    <t>New emergency battery 2 type</t>
  </si>
  <si>
    <t>New pitch battery type</t>
  </si>
  <si>
    <t>New aft battery type</t>
  </si>
  <si>
    <t>Coin batteries replaced?</t>
  </si>
  <si>
    <t>Lithium jumper cable connected?</t>
  </si>
  <si>
    <t>(disconnect for Steatite/alkaline batteries)</t>
  </si>
  <si>
    <t xml:space="preserve">Evaluate SPOT Argos tag in addition to all glider payload sensors. </t>
  </si>
  <si>
    <t>Sent for calibration?</t>
  </si>
  <si>
    <t>(should match original configuration from inventory)</t>
  </si>
  <si>
    <t>Save a copy of the pre-refurb glider trim sheet as a build sheet, update serial numbers</t>
  </si>
  <si>
    <t>Build trim sheet file number</t>
  </si>
  <si>
    <t>Silica pack replaced?</t>
  </si>
  <si>
    <t>Strobe protection circuit installed?</t>
  </si>
  <si>
    <t>Update build trim sheet with ballast configuration. Label a pair of wings to be used with this glider</t>
  </si>
  <si>
    <t>Edit autoexec.mi to reflect any changes in configuration</t>
  </si>
  <si>
    <t>autoexec.mi updated?</t>
  </si>
  <si>
    <t>f_crush_depth</t>
  </si>
  <si>
    <t>Pump cal values updated?</t>
  </si>
  <si>
    <t>f_battpos_safety_max</t>
  </si>
  <si>
    <t>f_max_working_depth</t>
  </si>
  <si>
    <t>WETLabs cal values updated?</t>
  </si>
  <si>
    <t>f_coulomb_battery_capacity</t>
  </si>
  <si>
    <t>(if not present, add the line sensor: f_coulomb_battery_capacity(amp-hrs) [value] # [battery type] to the bottom of the file - 702 TWR, 390 Steatite)</t>
  </si>
  <si>
    <t>u_oxy4_slow_surface_mode updated?</t>
  </si>
  <si>
    <t>Serial numbers updated?</t>
  </si>
  <si>
    <t>Copy of autoexec.mi added to config?</t>
  </si>
  <si>
    <t>Edit proglets.dat where any changes to sensor configuration have been made. Update/reset and record new amphr total after battery installation and new inflection total if pump changed.</t>
  </si>
  <si>
    <t>proglets.dat updated?</t>
  </si>
  <si>
    <t>New m_coulomb_amphr_total</t>
  </si>
  <si>
    <t>New m_tot_num_inflections</t>
  </si>
  <si>
    <t>Run some basic checks with the glider assembled, record below whether commands are completed normally</t>
  </si>
  <si>
    <t>lab_mode on</t>
  </si>
  <si>
    <t>run status.mi</t>
  </si>
  <si>
    <t>ballast</t>
  </si>
  <si>
    <t>wiggle on</t>
  </si>
  <si>
    <t>report m_vacuum</t>
  </si>
  <si>
    <t>(target 6 inHg for shallow pump, 7 inHg for deeep pump)</t>
  </si>
  <si>
    <t>wiggle off</t>
  </si>
  <si>
    <t>Record sensor power bit and UART configurations from proglets.dat, use  u4stalk [UART] [baud rate] c [power bit] to check direct comms with each sensor. Conductivity in air (check using 'stop' then 'TSR') should be within 0.2Hz of minimum value on cal sheet</t>
  </si>
  <si>
    <t>Power bit</t>
  </si>
  <si>
    <t>UART</t>
  </si>
  <si>
    <t>Sensor comms OK?</t>
  </si>
  <si>
    <t>Sensor configuration OK?</t>
  </si>
  <si>
    <t>Atmospheric pressure (mbar)</t>
  </si>
  <si>
    <t>Conductivity in air</t>
  </si>
  <si>
    <t>Within 2Hz of cal sheet?</t>
  </si>
  <si>
    <t xml:space="preserve">Place the glider in the tank and run an ini mission and download the .ebd files produced. Create a work folder on the dockserver, copy the .ebd files to this folder and navigate to it. Copy the utility to this folder (cp /opt/dataserver/bin/dbd2asc .). Delete any 0 byte files . Run ./dbd2asc *.ebd to check that data is produced and then ./dbd2asc *.ebd &gt;[filename].txt. The file produced can be imported to excel to check that all sensors are writing data correctly. Convert epoch time to UTC using online calculator
</t>
  </si>
  <si>
    <t>Time recorded correctly?</t>
  </si>
  <si>
    <t>All sensors recording data correctly?</t>
  </si>
  <si>
    <t>Save the build trim sheet as a tank sheet. Test current ballast in the tank, record results on the trim sheet. Complete the trim sheet ballast, worksheet and glider-specific tabs to calculate changes required</t>
  </si>
  <si>
    <t>Tank trim sheet file number</t>
  </si>
  <si>
    <r>
      <t>Target density for deployment (kg/m</t>
    </r>
    <r>
      <rPr>
        <b/>
        <vertAlign val="superscript"/>
        <sz val="8"/>
        <color theme="1"/>
        <rFont val="Calibri"/>
        <family val="2"/>
        <scheme val="minor"/>
      </rPr>
      <t>3</t>
    </r>
    <r>
      <rPr>
        <b/>
        <sz val="8"/>
        <color theme="1"/>
        <rFont val="Calibri"/>
        <family val="2"/>
        <scheme val="minor"/>
      </rPr>
      <t>)</t>
    </r>
  </si>
  <si>
    <r>
      <t>Target temperature for deployment (</t>
    </r>
    <r>
      <rPr>
        <b/>
        <sz val="8"/>
        <color theme="1"/>
        <rFont val="Calibri"/>
        <family val="2"/>
      </rPr>
      <t>°C)</t>
    </r>
  </si>
  <si>
    <t>Take a dry weight before ballasting</t>
  </si>
  <si>
    <t>Tank temperature (°C)</t>
  </si>
  <si>
    <t>Aft scale position (in)</t>
  </si>
  <si>
    <t>Pitch position 2 (radians)</t>
  </si>
  <si>
    <t>Ballasting adjustments required</t>
  </si>
  <si>
    <t>Save the tank trim sheet as an ocean sheet before making any physical adjustments to ballasting. If a further iteration of tank ballasting is required, record further adjustments made on the trim sheet and in the section above</t>
  </si>
  <si>
    <t>Ocean trim sheet file number</t>
  </si>
  <si>
    <t>Ballasting adjustments made</t>
  </si>
  <si>
    <t>Weights updated?</t>
  </si>
  <si>
    <t>New configuration copied to inventory?</t>
  </si>
  <si>
    <t>Final assembled glider dry weight (g)</t>
  </si>
  <si>
    <t>H-moment (mm)</t>
  </si>
  <si>
    <t>(4-9mm, aim for 6)</t>
  </si>
  <si>
    <t>Predicted buoyancy at target density  (g)</t>
  </si>
  <si>
    <t>(from TWR trim sheet)</t>
  </si>
  <si>
    <t>(from weight in tank)</t>
  </si>
  <si>
    <t>Loadmission loadsim.mi or deepsim.mi, then perform 'on_bench' simulated dives using standard configuration files on mains power. For deep gliders, run at least 1 dive &gt;200m</t>
  </si>
  <si>
    <t>simul.sim deleted?</t>
  </si>
  <si>
    <t>b_arg: undervolts set correctly for battery type?</t>
  </si>
  <si>
    <t>must be set to 10 for sim dives, reset to 13.5 if using Steatite batteries</t>
  </si>
  <si>
    <t>Files/data visualiser checked OK?</t>
  </si>
  <si>
    <t>Complete a slocum functional checkout sheet, recording any errors or problems</t>
  </si>
  <si>
    <t>Functional checkout number</t>
  </si>
  <si>
    <t>Functional checkout completed OK?</t>
  </si>
  <si>
    <t>Fault Description</t>
  </si>
  <si>
    <t>Logged on Jira?</t>
  </si>
  <si>
    <t>Verify heading is within +/- 10° of heading given by handheld compass at 8 points, with pitch and roll at 0°</t>
  </si>
  <si>
    <t>Reported heading at Heading 0°</t>
  </si>
  <si>
    <t>(radians)</t>
  </si>
  <si>
    <t>(degrees)</t>
  </si>
  <si>
    <t>Pass?</t>
  </si>
  <si>
    <t>Reported heading at Heading 45°</t>
  </si>
  <si>
    <t>Reported heading at Heading 90°</t>
  </si>
  <si>
    <t>Reported heading at Heading 135°</t>
  </si>
  <si>
    <t>Reported heading at Heading 180 °</t>
  </si>
  <si>
    <t>Reported heading at Heading 225°</t>
  </si>
  <si>
    <t>Reported heading at Heading 270°</t>
  </si>
  <si>
    <t>Reported heading at Heading 315°</t>
  </si>
  <si>
    <t>Compass check OK?</t>
  </si>
  <si>
    <t xml:space="preserve">14. CALIBRATE COMPASS </t>
  </si>
  <si>
    <t>Calibrate compass using RevolutionTest software, then verify heading is within +/- 10° of heading given by handheld compass at 8 points, with pitch and roll at 0°</t>
  </si>
  <si>
    <t>desired</t>
  </si>
  <si>
    <t>Pre-cal compass check</t>
  </si>
  <si>
    <t>Post-cal compass check</t>
  </si>
  <si>
    <t>actual</t>
  </si>
  <si>
    <t>error</t>
  </si>
  <si>
    <t>Trolley OK for use?</t>
  </si>
  <si>
    <t>895</t>
  </si>
  <si>
    <t>3.787</t>
  </si>
  <si>
    <t>2000062</t>
  </si>
  <si>
    <t>2000006</t>
  </si>
  <si>
    <t>Extended Energy bay</t>
  </si>
  <si>
    <t>2000023</t>
  </si>
  <si>
    <t>2000056</t>
  </si>
  <si>
    <t>469</t>
  </si>
  <si>
    <t>9359</t>
  </si>
  <si>
    <t>50246</t>
  </si>
  <si>
    <t>4504</t>
  </si>
  <si>
    <t>1209</t>
  </si>
  <si>
    <t>0811</t>
  </si>
  <si>
    <t>946-0501</t>
  </si>
  <si>
    <t>Optode disconnected and not used</t>
  </si>
  <si>
    <t>Lithium battery packs not replaced. Weight and serial numbers as per section 4 and refurbishment report completed in December 2020</t>
  </si>
  <si>
    <t>8.2/gen_2</t>
  </si>
  <si>
    <t>check under ice config when 405 back - as changes may not be in the current 8.2 glider firmware folder: may need to change on freewave when on AgulasII</t>
  </si>
  <si>
    <t>1794</t>
  </si>
  <si>
    <t>NOC backup folder: CF_CARD_BACKUPS/SLOCUMS/631_BAS/12072021_BAS631_BACKUP</t>
  </si>
  <si>
    <t>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</si>
</sst>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9" x14ac:knownFonts="1">
    <font>
      <sz val="11"/>
      <color theme="1"/>
      <name val="Calibri"/>
      <family val="2"/>
      <scheme val="minor"/>
    </font>
    <font>
      <b/>
      <sz val="16"/>
      <color theme="1"/>
      <name val="Calibri"/>
      <family val="2"/>
      <scheme val="minor"/>
    </font>
    <font>
      <b/>
      <sz val="8"/>
      <color theme="1"/>
      <name val="Calibri"/>
      <family val="2"/>
      <scheme val="minor"/>
    </font>
    <font>
      <sz val="8"/>
      <color theme="1"/>
      <name val="Calibri"/>
      <family val="2"/>
      <scheme val="minor"/>
    </font>
    <font>
      <i/>
      <sz val="8"/>
      <color theme="1"/>
      <name val="Calibri"/>
      <family val="2"/>
      <scheme val="minor"/>
    </font>
    <font>
      <b/>
      <sz val="11"/>
      <color theme="1"/>
      <name val="Calibri"/>
      <family val="2"/>
      <scheme val="minor"/>
    </font>
    <font>
      <b/>
      <sz val="8"/>
      <color theme="1"/>
      <name val="Calibri"/>
      <family val="2"/>
    </font>
    <font>
      <i/>
      <sz val="8"/>
      <name val="Calibri"/>
      <family val="2"/>
      <scheme val="minor"/>
    </font>
    <font>
      <b/>
      <vertAlign val="superscript"/>
      <sz val="8"/>
      <color theme="1"/>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0"/>
        <bgColor indexed="64"/>
      </patternFill>
    </fill>
  </fills>
  <borders count="1">
    <border>
      <left/>
      <right/>
      <top/>
      <bottom/>
      <diagonal/>
    </border>
  </borders>
  <cellStyleXfs count="1">
    <xf numFmtId="0" fontId="0" fillId="0" borderId="0"/>
  </cellStyleXfs>
  <cellXfs count="59">
    <xf numFmtId="0" fontId="0" fillId="0" borderId="0" xfId="0"/>
    <xf numFmtId="0" fontId="2" fillId="0" borderId="0" xfId="0" applyFont="1" applyAlignment="1">
      <alignment vertical="center"/>
    </xf>
    <xf numFmtId="0" fontId="3" fillId="0" borderId="0" xfId="0" applyFont="1" applyAlignment="1">
      <alignment vertical="center"/>
    </xf>
    <xf numFmtId="0" fontId="3" fillId="0" borderId="0" xfId="0" applyFont="1" applyAlignment="1">
      <alignment horizontal="center" vertical="center"/>
    </xf>
    <xf numFmtId="0" fontId="2" fillId="2" borderId="0" xfId="0" applyFont="1" applyFill="1" applyAlignment="1">
      <alignment vertical="center"/>
    </xf>
    <xf numFmtId="0" fontId="3" fillId="2" borderId="0" xfId="0" applyFont="1" applyFill="1" applyAlignment="1">
      <alignment vertical="center"/>
    </xf>
    <xf numFmtId="0" fontId="1" fillId="2" borderId="0" xfId="0" applyFont="1" applyFill="1" applyAlignment="1">
      <alignment horizontal="center" vertical="center"/>
    </xf>
    <xf numFmtId="0" fontId="0" fillId="2" borderId="0" xfId="0" applyFill="1" applyAlignment="1">
      <alignment horizontal="right"/>
    </xf>
    <xf numFmtId="0" fontId="0" fillId="2" borderId="0" xfId="0" applyFill="1" applyAlignment="1">
      <alignment horizontal="right" vertical="center"/>
    </xf>
    <xf numFmtId="0" fontId="0" fillId="2" borderId="0" xfId="0" applyFill="1"/>
    <xf numFmtId="0" fontId="0" fillId="0" borderId="0" xfId="0" applyAlignment="1">
      <alignment horizontal="center"/>
    </xf>
    <xf numFmtId="0" fontId="3" fillId="2" borderId="0" xfId="0" applyFont="1" applyFill="1"/>
    <xf numFmtId="0" fontId="3" fillId="2" borderId="0" xfId="0" applyFont="1" applyFill="1" applyAlignment="1">
      <alignment horizontal="center"/>
    </xf>
    <xf numFmtId="0" fontId="3" fillId="0" borderId="0" xfId="0" applyFont="1"/>
    <xf numFmtId="0" fontId="4" fillId="2" borderId="0" xfId="0" applyFont="1" applyFill="1" applyAlignment="1">
      <alignment horizontal="left" vertical="center"/>
    </xf>
    <xf numFmtId="0" fontId="4" fillId="2" borderId="0" xfId="0" applyFont="1" applyFill="1" applyAlignment="1">
      <alignment vertical="center"/>
    </xf>
    <xf numFmtId="0" fontId="4" fillId="2" borderId="0" xfId="0" applyFont="1" applyFill="1"/>
    <xf numFmtId="0" fontId="3" fillId="2" borderId="0" xfId="0" applyFont="1" applyFill="1" applyAlignment="1">
      <alignment horizontal="left"/>
    </xf>
    <xf numFmtId="0" fontId="0" fillId="2" borderId="0" xfId="0" applyFill="1" applyAlignment="1">
      <alignment horizontal="center" vertical="center"/>
    </xf>
    <xf numFmtId="0" fontId="5" fillId="0" borderId="0" xfId="0" applyFont="1" applyAlignment="1">
      <alignment horizontal="center" vertical="center" wrapText="1"/>
    </xf>
    <xf numFmtId="0" fontId="0" fillId="0" borderId="0" xfId="0" applyAlignment="1">
      <alignment horizontal="center" vertical="center" wrapText="1"/>
    </xf>
    <xf numFmtId="0" fontId="3" fillId="2" borderId="0" xfId="0" applyFont="1" applyFill="1" applyAlignment="1">
      <alignment horizontal="center" vertical="center"/>
    </xf>
    <xf numFmtId="0" fontId="4" fillId="2" borderId="0" xfId="0" applyFont="1" applyFill="1" applyAlignment="1">
      <alignment horizontal="left"/>
    </xf>
    <xf numFmtId="0" fontId="4" fillId="2" borderId="0" xfId="0" applyFont="1" applyFill="1" applyAlignment="1">
      <alignment horizontal="center" vertical="center"/>
    </xf>
    <xf numFmtId="49" fontId="2" fillId="2" borderId="0" xfId="0" applyNumberFormat="1" applyFont="1" applyFill="1" applyAlignment="1">
      <alignment horizontal="center" vertical="center"/>
    </xf>
    <xf numFmtId="49" fontId="3" fillId="2" borderId="0" xfId="0" applyNumberFormat="1" applyFont="1" applyFill="1" applyAlignment="1">
      <alignment horizontal="center" vertical="center"/>
    </xf>
    <xf numFmtId="0" fontId="2" fillId="2" borderId="0" xfId="0" applyFont="1" applyFill="1" applyAlignment="1">
      <alignment horizontal="right" vertical="center"/>
    </xf>
    <xf numFmtId="0" fontId="4" fillId="2" borderId="0" xfId="0" applyFont="1" applyFill="1" applyAlignment="1">
      <alignment vertical="center" wrapText="1"/>
    </xf>
    <xf numFmtId="0" fontId="2" fillId="2" borderId="0" xfId="0" applyFont="1" applyFill="1" applyAlignment="1">
      <alignment horizontal="right"/>
    </xf>
    <xf numFmtId="49" fontId="2" fillId="0" borderId="0" xfId="0" applyNumberFormat="1" applyFont="1" applyAlignment="1">
      <alignment horizontal="center"/>
    </xf>
    <xf numFmtId="0" fontId="2" fillId="2" borderId="0" xfId="0" applyFont="1" applyFill="1" applyAlignment="1">
      <alignment horizontal="center"/>
    </xf>
    <xf numFmtId="0" fontId="2" fillId="3" borderId="0" xfId="0" applyFont="1" applyFill="1" applyAlignment="1">
      <alignment horizontal="center"/>
    </xf>
    <xf numFmtId="164" fontId="2" fillId="0" borderId="0" xfId="0" applyNumberFormat="1" applyFont="1" applyAlignment="1">
      <alignment horizontal="center"/>
    </xf>
    <xf numFmtId="0" fontId="5" fillId="0" borderId="0" xfId="0" applyFont="1" applyAlignment="1">
      <alignment horizontal="center" vertical="center"/>
    </xf>
    <xf numFmtId="49" fontId="2" fillId="0" borderId="0" xfId="0" applyNumberFormat="1" applyFont="1" applyAlignment="1">
      <alignment horizontal="center" vertical="center"/>
    </xf>
    <xf numFmtId="0" fontId="2" fillId="0" borderId="0" xfId="0" applyFont="1" applyAlignment="1">
      <alignment horizontal="center"/>
    </xf>
    <xf numFmtId="0" fontId="2" fillId="2" borderId="0" xfId="0" applyFont="1" applyFill="1" applyAlignment="1">
      <alignment horizontal="center" vertical="center"/>
    </xf>
    <xf numFmtId="0" fontId="0" fillId="2" borderId="0" xfId="0" applyFill="1" applyAlignment="1">
      <alignment horizontal="center"/>
    </xf>
    <xf numFmtId="0" fontId="2" fillId="0" borderId="0" xfId="0" applyFont="1" applyAlignment="1">
      <alignment horizontal="center" vertical="center"/>
    </xf>
    <xf numFmtId="0" fontId="2" fillId="0" borderId="0" xfId="0" applyFont="1" applyAlignment="1">
      <alignment horizontal="center"/>
    </xf>
    <xf numFmtId="0" fontId="2" fillId="2" borderId="0" xfId="0" applyFont="1" applyFill="1" applyAlignment="1">
      <alignment horizontal="right" vertical="center"/>
    </xf>
    <xf numFmtId="0" fontId="2" fillId="0" borderId="0" xfId="0" applyFont="1" applyAlignment="1">
      <alignment horizontal="center"/>
    </xf>
    <xf numFmtId="0" fontId="2" fillId="0" borderId="0" xfId="0" applyFont="1" applyAlignment="1">
      <alignment horizontal="center"/>
    </xf>
    <xf numFmtId="0" fontId="2" fillId="0" borderId="0" xfId="0" applyFont="1" applyAlignment="1">
      <alignment horizontal="center"/>
    </xf>
    <xf numFmtId="0" fontId="2" fillId="2" borderId="0" xfId="0" applyFont="1" applyFill="1" applyAlignment="1">
      <alignment horizontal="right" vertical="center"/>
    </xf>
    <xf numFmtId="0" fontId="4" fillId="0" borderId="0" xfId="0" applyFont="1" applyAlignment="1">
      <alignment horizontal="center" vertical="center" wrapText="1"/>
    </xf>
    <xf numFmtId="0" fontId="2" fillId="2" borderId="0" xfId="0" applyFont="1" applyFill="1" applyAlignment="1">
      <alignment horizontal="center" vertical="center"/>
    </xf>
    <xf numFmtId="0" fontId="1" fillId="0" borderId="0" xfId="0" applyFont="1" applyAlignment="1">
      <alignment horizontal="center" vertical="center"/>
    </xf>
    <xf numFmtId="0" fontId="2" fillId="0" borderId="0" xfId="0" applyFont="1" applyAlignment="1">
      <alignment horizontal="left"/>
    </xf>
    <xf numFmtId="0" fontId="4" fillId="0" borderId="0" xfId="0" applyFont="1" applyAlignment="1">
      <alignment horizontal="center" vertical="center"/>
    </xf>
    <xf numFmtId="0" fontId="7" fillId="0" borderId="0" xfId="0" applyFont="1" applyAlignment="1">
      <alignment horizontal="center" vertical="center"/>
    </xf>
    <xf numFmtId="0" fontId="3" fillId="2" borderId="0" xfId="0" applyFont="1" applyFill="1" applyAlignment="1">
      <alignment horizontal="left" vertical="center"/>
    </xf>
    <xf numFmtId="0" fontId="2" fillId="0" borderId="0" xfId="0" applyFont="1" applyAlignment="1">
      <alignment horizontal="center" vertical="center"/>
    </xf>
    <xf numFmtId="0" fontId="1" fillId="0" borderId="0" xfId="0" applyFont="1" applyAlignment="1">
      <alignment horizontal="center"/>
    </xf>
    <xf numFmtId="0" fontId="0" fillId="0" borderId="0" xfId="0" applyAlignment="1">
      <alignment horizontal="center"/>
    </xf>
    <xf numFmtId="0" fontId="0" fillId="2" borderId="0" xfId="0" applyFill="1" applyAlignment="1">
      <alignment horizontal="center"/>
    </xf>
    <xf numFmtId="0" fontId="4" fillId="0" borderId="0" xfId="0" applyFont="1" applyAlignment="1">
      <alignment horizontal="center" vertical="top" wrapText="1"/>
    </xf>
    <xf numFmtId="0" fontId="4" fillId="0" borderId="0" xfId="0" applyFont="1" applyAlignment="1">
      <alignment horizontal="center" vertical="top"/>
    </xf>
    <xf numFmtId="0" fontId="2" fillId="0" borderId="0" xfId="0" applyFont="1" applyAlignment="1">
      <alignment horizontal="left" wrapText="1"/>
    </xf>
  </cellXfs>
  <cellStyles count="1">
    <cellStyle name="Normal" xfId="0" builtinId="0"/>
  </cellStyles>
  <dxfs count="58">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Compass checks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5339984449092685E-2"/>
          <c:y val="0.11690904021612686"/>
          <c:w val="0.83064389393914484"/>
          <c:h val="0.85995750531183601"/>
        </c:manualLayout>
      </c:layout>
      <c:scatterChart>
        <c:scatterStyle val="smoothMarker"/>
        <c:varyColors val="0"/>
        <c:ser>
          <c:idx val="0"/>
          <c:order val="0"/>
          <c:tx>
            <c:strRef>
              <c:f>COMPASS!$C$1</c:f>
              <c:strCache>
                <c:ptCount val="1"/>
                <c:pt idx="0">
                  <c:v>Pre-cal compass check</c:v>
                </c:pt>
              </c:strCache>
            </c:strRef>
          </c:tx>
          <c:spPr>
            <a:ln w="19050" cap="rnd">
              <a:solidFill>
                <a:schemeClr val="accent1"/>
              </a:solidFill>
              <a:round/>
            </a:ln>
            <a:effectLst/>
          </c:spPr>
          <c:marker>
            <c:symbol val="none"/>
          </c:marker>
          <c:xVal>
            <c:numRef>
              <c:f>COMPASS!$A$3:$A$11</c:f>
              <c:numCache>
                <c:formatCode>General</c:formatCode>
                <c:ptCount val="9"/>
                <c:pt idx="0">
                  <c:v>0</c:v>
                </c:pt>
                <c:pt idx="1">
                  <c:v>45</c:v>
                </c:pt>
                <c:pt idx="2">
                  <c:v>90</c:v>
                </c:pt>
                <c:pt idx="3">
                  <c:v>135</c:v>
                </c:pt>
                <c:pt idx="4">
                  <c:v>180</c:v>
                </c:pt>
                <c:pt idx="5">
                  <c:v>225</c:v>
                </c:pt>
                <c:pt idx="6">
                  <c:v>270</c:v>
                </c:pt>
                <c:pt idx="7">
                  <c:v>315</c:v>
                </c:pt>
                <c:pt idx="8">
                  <c:v>360</c:v>
                </c:pt>
              </c:numCache>
            </c:numRef>
          </c:xVal>
          <c:yVal>
            <c:numRef>
              <c:f>COMPASS!$D$3:$D$11</c:f>
              <c:numCache>
                <c:formatCode>General</c:formatCode>
                <c:ptCount val="9"/>
                <c:pt idx="0">
                  <c:v>0.57295779513082323</c:v>
                </c:pt>
                <c:pt idx="1">
                  <c:v>-4.148109207172304</c:v>
                </c:pt>
                <c:pt idx="2">
                  <c:v>-9.2129508865539265</c:v>
                </c:pt>
                <c:pt idx="3">
                  <c:v>-4.3656227101723175</c:v>
                </c:pt>
                <c:pt idx="4">
                  <c:v>-5.8208302802297283</c:v>
                </c:pt>
                <c:pt idx="5">
                  <c:v>5.3290336425909004</c:v>
                </c:pt>
                <c:pt idx="6">
                  <c:v>5.5926994579259599</c:v>
                </c:pt>
                <c:pt idx="7">
                  <c:v>5.2834074781301865</c:v>
                </c:pt>
                <c:pt idx="8">
                  <c:v>0.57295779513082323</c:v>
                </c:pt>
              </c:numCache>
            </c:numRef>
          </c:yVal>
          <c:smooth val="1"/>
          <c:extLst>
            <c:ext xmlns:c16="http://schemas.microsoft.com/office/drawing/2014/chart" uri="{C3380CC4-5D6E-409C-BE32-E72D297353CC}">
              <c16:uniqueId val="{00000000-9AB9-474E-9911-DBDEE036084F}"/>
            </c:ext>
          </c:extLst>
        </c:ser>
        <c:ser>
          <c:idx val="1"/>
          <c:order val="1"/>
          <c:tx>
            <c:strRef>
              <c:f>COMPASS!$F$1</c:f>
              <c:strCache>
                <c:ptCount val="1"/>
                <c:pt idx="0">
                  <c:v>Post-cal compass check</c:v>
                </c:pt>
              </c:strCache>
            </c:strRef>
          </c:tx>
          <c:spPr>
            <a:ln w="19050" cap="rnd">
              <a:solidFill>
                <a:schemeClr val="accent2"/>
              </a:solidFill>
              <a:round/>
            </a:ln>
            <a:effectLst/>
          </c:spPr>
          <c:marker>
            <c:symbol val="none"/>
          </c:marker>
          <c:xVal>
            <c:numRef>
              <c:f>COMPASS!$A$3:$A$11</c:f>
              <c:numCache>
                <c:formatCode>General</c:formatCode>
                <c:ptCount val="9"/>
                <c:pt idx="0">
                  <c:v>0</c:v>
                </c:pt>
                <c:pt idx="1">
                  <c:v>45</c:v>
                </c:pt>
                <c:pt idx="2">
                  <c:v>90</c:v>
                </c:pt>
                <c:pt idx="3">
                  <c:v>135</c:v>
                </c:pt>
                <c:pt idx="4">
                  <c:v>180</c:v>
                </c:pt>
                <c:pt idx="5">
                  <c:v>225</c:v>
                </c:pt>
                <c:pt idx="6">
                  <c:v>270</c:v>
                </c:pt>
                <c:pt idx="7">
                  <c:v>315</c:v>
                </c:pt>
                <c:pt idx="8">
                  <c:v>360</c:v>
                </c:pt>
              </c:numCache>
            </c:numRef>
          </c:xVal>
          <c:yVal>
            <c:numRef>
              <c:f>COMPASS!$G$3:$G$11</c:f>
              <c:numCache>
                <c:formatCode>General</c:formatCode>
                <c:ptCount val="9"/>
                <c:pt idx="0">
                  <c:v>-360</c:v>
                </c:pt>
                <c:pt idx="1">
                  <c:v>-45</c:v>
                </c:pt>
                <c:pt idx="2">
                  <c:v>-90</c:v>
                </c:pt>
                <c:pt idx="3">
                  <c:v>-135</c:v>
                </c:pt>
                <c:pt idx="4">
                  <c:v>-180</c:v>
                </c:pt>
                <c:pt idx="5">
                  <c:v>-225</c:v>
                </c:pt>
                <c:pt idx="6">
                  <c:v>-270</c:v>
                </c:pt>
                <c:pt idx="7">
                  <c:v>-315</c:v>
                </c:pt>
                <c:pt idx="8">
                  <c:v>-360</c:v>
                </c:pt>
              </c:numCache>
            </c:numRef>
          </c:yVal>
          <c:smooth val="1"/>
          <c:extLst>
            <c:ext xmlns:c16="http://schemas.microsoft.com/office/drawing/2014/chart" uri="{C3380CC4-5D6E-409C-BE32-E72D297353CC}">
              <c16:uniqueId val="{00000001-9AB9-474E-9911-DBDEE036084F}"/>
            </c:ext>
          </c:extLst>
        </c:ser>
        <c:dLbls>
          <c:showLegendKey val="0"/>
          <c:showVal val="0"/>
          <c:showCatName val="0"/>
          <c:showSerName val="0"/>
          <c:showPercent val="0"/>
          <c:showBubbleSize val="0"/>
        </c:dLbls>
        <c:axId val="330043952"/>
        <c:axId val="330041600"/>
      </c:scatterChart>
      <c:valAx>
        <c:axId val="330043952"/>
        <c:scaling>
          <c:orientation val="minMax"/>
          <c:max val="360"/>
          <c:min val="0"/>
        </c:scaling>
        <c:delete val="0"/>
        <c:axPos val="t"/>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0041600"/>
        <c:crosses val="max"/>
        <c:crossBetween val="midCat"/>
        <c:majorUnit val="45"/>
      </c:valAx>
      <c:valAx>
        <c:axId val="330041600"/>
        <c:scaling>
          <c:orientation val="minMax"/>
          <c:max val="20"/>
          <c:min val="-20"/>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0043952"/>
        <c:crosses val="autoZero"/>
        <c:crossBetween val="midCat"/>
        <c:majorUnit val="5"/>
      </c:valAx>
      <c:spPr>
        <a:noFill/>
        <a:ln>
          <a:noFill/>
        </a:ln>
        <a:effectLst/>
      </c:spPr>
    </c:plotArea>
    <c:legend>
      <c:legendPos val="r"/>
      <c:layout>
        <c:manualLayout>
          <c:xMode val="edge"/>
          <c:yMode val="edge"/>
          <c:x val="0.88811735459354091"/>
          <c:y val="0.49194498952615151"/>
          <c:w val="0.10732120906598575"/>
          <c:h val="8.241815926855297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36195</xdr:colOff>
      <xdr:row>19</xdr:row>
      <xdr:rowOff>47625</xdr:rowOff>
    </xdr:from>
    <xdr:to>
      <xdr:col>3</xdr:col>
      <xdr:colOff>882015</xdr:colOff>
      <xdr:row>21</xdr:row>
      <xdr:rowOff>161925</xdr:rowOff>
    </xdr:to>
    <xdr:sp macro="[0]!Check_and_update_tasks" textlink="">
      <xdr:nvSpPr>
        <xdr:cNvPr id="2" name="Rectangle 1">
          <a:extLst>
            <a:ext uri="{FF2B5EF4-FFF2-40B4-BE49-F238E27FC236}">
              <a16:creationId xmlns:a16="http://schemas.microsoft.com/office/drawing/2014/main" id="{00000000-0008-0000-0100-000002000000}"/>
            </a:ext>
          </a:extLst>
        </xdr:cNvPr>
        <xdr:cNvSpPr/>
      </xdr:nvSpPr>
      <xdr:spPr>
        <a:xfrm>
          <a:off x="4236720" y="3743325"/>
          <a:ext cx="2360295" cy="495300"/>
        </a:xfrm>
        <a:prstGeom prst="rect">
          <a:avLst/>
        </a:prstGeom>
        <a:solidFill>
          <a:schemeClr val="bg1">
            <a:lumMod val="85000"/>
          </a:schemeClr>
        </a:solid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ysClr val="windowText" lastClr="000000"/>
              </a:solidFill>
            </a:rPr>
            <a:t>UPDATE</a:t>
          </a:r>
        </a:p>
      </xdr:txBody>
    </xdr:sp>
    <xdr:clientData/>
  </xdr:twoCellAnchor>
  <xdr:twoCellAnchor>
    <xdr:from>
      <xdr:col>0</xdr:col>
      <xdr:colOff>15240</xdr:colOff>
      <xdr:row>25</xdr:row>
      <xdr:rowOff>15240</xdr:rowOff>
    </xdr:from>
    <xdr:to>
      <xdr:col>0</xdr:col>
      <xdr:colOff>266700</xdr:colOff>
      <xdr:row>25</xdr:row>
      <xdr:rowOff>251460</xdr:rowOff>
    </xdr:to>
    <xdr:sp macro="[0]!Unhide_1" textlink="">
      <xdr:nvSpPr>
        <xdr:cNvPr id="4" name="Plus 3">
          <a:extLst>
            <a:ext uri="{FF2B5EF4-FFF2-40B4-BE49-F238E27FC236}">
              <a16:creationId xmlns:a16="http://schemas.microsoft.com/office/drawing/2014/main" id="{00000000-0008-0000-0100-000004000000}"/>
            </a:ext>
          </a:extLst>
        </xdr:cNvPr>
        <xdr:cNvSpPr/>
      </xdr:nvSpPr>
      <xdr:spPr>
        <a:xfrm>
          <a:off x="15240" y="6751320"/>
          <a:ext cx="251460" cy="236220"/>
        </a:xfrm>
        <a:prstGeom prst="mathPl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289560</xdr:colOff>
      <xdr:row>25</xdr:row>
      <xdr:rowOff>45720</xdr:rowOff>
    </xdr:from>
    <xdr:to>
      <xdr:col>0</xdr:col>
      <xdr:colOff>495300</xdr:colOff>
      <xdr:row>25</xdr:row>
      <xdr:rowOff>213360</xdr:rowOff>
    </xdr:to>
    <xdr:sp macro="[0]!Hide_1" textlink="">
      <xdr:nvSpPr>
        <xdr:cNvPr id="5" name="Minus 4">
          <a:extLst>
            <a:ext uri="{FF2B5EF4-FFF2-40B4-BE49-F238E27FC236}">
              <a16:creationId xmlns:a16="http://schemas.microsoft.com/office/drawing/2014/main" id="{00000000-0008-0000-0100-000005000000}"/>
            </a:ext>
          </a:extLst>
        </xdr:cNvPr>
        <xdr:cNvSpPr/>
      </xdr:nvSpPr>
      <xdr:spPr>
        <a:xfrm>
          <a:off x="289560" y="6781800"/>
          <a:ext cx="205740" cy="167640"/>
        </a:xfrm>
        <a:prstGeom prst="mathMin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42</xdr:row>
      <xdr:rowOff>0</xdr:rowOff>
    </xdr:from>
    <xdr:to>
      <xdr:col>0</xdr:col>
      <xdr:colOff>251460</xdr:colOff>
      <xdr:row>42</xdr:row>
      <xdr:rowOff>236220</xdr:rowOff>
    </xdr:to>
    <xdr:sp macro="[0]!Unhide_2" textlink="">
      <xdr:nvSpPr>
        <xdr:cNvPr id="6" name="Plus 5">
          <a:extLst>
            <a:ext uri="{FF2B5EF4-FFF2-40B4-BE49-F238E27FC236}">
              <a16:creationId xmlns:a16="http://schemas.microsoft.com/office/drawing/2014/main" id="{00000000-0008-0000-0100-000006000000}"/>
            </a:ext>
          </a:extLst>
        </xdr:cNvPr>
        <xdr:cNvSpPr/>
      </xdr:nvSpPr>
      <xdr:spPr>
        <a:xfrm>
          <a:off x="0" y="8465820"/>
          <a:ext cx="251460" cy="236220"/>
        </a:xfrm>
        <a:prstGeom prst="mathPl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289560</xdr:colOff>
      <xdr:row>42</xdr:row>
      <xdr:rowOff>38100</xdr:rowOff>
    </xdr:from>
    <xdr:to>
      <xdr:col>0</xdr:col>
      <xdr:colOff>495300</xdr:colOff>
      <xdr:row>42</xdr:row>
      <xdr:rowOff>205740</xdr:rowOff>
    </xdr:to>
    <xdr:sp macro="[0]!Hide_2" textlink="">
      <xdr:nvSpPr>
        <xdr:cNvPr id="7" name="Minus 6">
          <a:extLst>
            <a:ext uri="{FF2B5EF4-FFF2-40B4-BE49-F238E27FC236}">
              <a16:creationId xmlns:a16="http://schemas.microsoft.com/office/drawing/2014/main" id="{00000000-0008-0000-0100-000007000000}"/>
            </a:ext>
          </a:extLst>
        </xdr:cNvPr>
        <xdr:cNvSpPr/>
      </xdr:nvSpPr>
      <xdr:spPr>
        <a:xfrm>
          <a:off x="289560" y="8503920"/>
          <a:ext cx="205740" cy="167640"/>
        </a:xfrm>
        <a:prstGeom prst="mathMin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53</xdr:row>
      <xdr:rowOff>0</xdr:rowOff>
    </xdr:from>
    <xdr:to>
      <xdr:col>0</xdr:col>
      <xdr:colOff>251460</xdr:colOff>
      <xdr:row>53</xdr:row>
      <xdr:rowOff>236220</xdr:rowOff>
    </xdr:to>
    <xdr:sp macro="[0]!Unhide_3" textlink="">
      <xdr:nvSpPr>
        <xdr:cNvPr id="9" name="Plus 8">
          <a:extLst>
            <a:ext uri="{FF2B5EF4-FFF2-40B4-BE49-F238E27FC236}">
              <a16:creationId xmlns:a16="http://schemas.microsoft.com/office/drawing/2014/main" id="{00000000-0008-0000-0100-000009000000}"/>
            </a:ext>
          </a:extLst>
        </xdr:cNvPr>
        <xdr:cNvSpPr/>
      </xdr:nvSpPr>
      <xdr:spPr>
        <a:xfrm>
          <a:off x="0" y="12009120"/>
          <a:ext cx="251460" cy="236220"/>
        </a:xfrm>
        <a:prstGeom prst="mathPl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297180</xdr:colOff>
      <xdr:row>53</xdr:row>
      <xdr:rowOff>30480</xdr:rowOff>
    </xdr:from>
    <xdr:to>
      <xdr:col>0</xdr:col>
      <xdr:colOff>502920</xdr:colOff>
      <xdr:row>53</xdr:row>
      <xdr:rowOff>198120</xdr:rowOff>
    </xdr:to>
    <xdr:sp macro="[0]!Hide_3" textlink="">
      <xdr:nvSpPr>
        <xdr:cNvPr id="10" name="Minus 9">
          <a:extLst>
            <a:ext uri="{FF2B5EF4-FFF2-40B4-BE49-F238E27FC236}">
              <a16:creationId xmlns:a16="http://schemas.microsoft.com/office/drawing/2014/main" id="{00000000-0008-0000-0100-00000A000000}"/>
            </a:ext>
          </a:extLst>
        </xdr:cNvPr>
        <xdr:cNvSpPr/>
      </xdr:nvSpPr>
      <xdr:spPr>
        <a:xfrm>
          <a:off x="297180" y="12039600"/>
          <a:ext cx="205740" cy="167640"/>
        </a:xfrm>
        <a:prstGeom prst="mathMin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60</xdr:row>
      <xdr:rowOff>0</xdr:rowOff>
    </xdr:from>
    <xdr:to>
      <xdr:col>0</xdr:col>
      <xdr:colOff>251460</xdr:colOff>
      <xdr:row>60</xdr:row>
      <xdr:rowOff>236220</xdr:rowOff>
    </xdr:to>
    <xdr:sp macro="[0]!Unhide_4" textlink="">
      <xdr:nvSpPr>
        <xdr:cNvPr id="12" name="Plus 11">
          <a:extLst>
            <a:ext uri="{FF2B5EF4-FFF2-40B4-BE49-F238E27FC236}">
              <a16:creationId xmlns:a16="http://schemas.microsoft.com/office/drawing/2014/main" id="{00000000-0008-0000-0100-00000C000000}"/>
            </a:ext>
          </a:extLst>
        </xdr:cNvPr>
        <xdr:cNvSpPr/>
      </xdr:nvSpPr>
      <xdr:spPr>
        <a:xfrm>
          <a:off x="0" y="6621780"/>
          <a:ext cx="251460" cy="236220"/>
        </a:xfrm>
        <a:prstGeom prst="mathPl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289560</xdr:colOff>
      <xdr:row>60</xdr:row>
      <xdr:rowOff>30480</xdr:rowOff>
    </xdr:from>
    <xdr:to>
      <xdr:col>0</xdr:col>
      <xdr:colOff>495300</xdr:colOff>
      <xdr:row>60</xdr:row>
      <xdr:rowOff>198120</xdr:rowOff>
    </xdr:to>
    <xdr:sp macro="[0]!Hide_4" textlink="">
      <xdr:nvSpPr>
        <xdr:cNvPr id="13" name="Minus 12">
          <a:extLst>
            <a:ext uri="{FF2B5EF4-FFF2-40B4-BE49-F238E27FC236}">
              <a16:creationId xmlns:a16="http://schemas.microsoft.com/office/drawing/2014/main" id="{00000000-0008-0000-0100-00000D000000}"/>
            </a:ext>
          </a:extLst>
        </xdr:cNvPr>
        <xdr:cNvSpPr/>
      </xdr:nvSpPr>
      <xdr:spPr>
        <a:xfrm>
          <a:off x="289560" y="6652260"/>
          <a:ext cx="205740" cy="167640"/>
        </a:xfrm>
        <a:prstGeom prst="mathMin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86</xdr:row>
      <xdr:rowOff>0</xdr:rowOff>
    </xdr:from>
    <xdr:to>
      <xdr:col>0</xdr:col>
      <xdr:colOff>251460</xdr:colOff>
      <xdr:row>86</xdr:row>
      <xdr:rowOff>236220</xdr:rowOff>
    </xdr:to>
    <xdr:sp macro="[0]!Unhide_5" textlink="">
      <xdr:nvSpPr>
        <xdr:cNvPr id="21" name="Plus 20">
          <a:extLst>
            <a:ext uri="{FF2B5EF4-FFF2-40B4-BE49-F238E27FC236}">
              <a16:creationId xmlns:a16="http://schemas.microsoft.com/office/drawing/2014/main" id="{00000000-0008-0000-0100-000015000000}"/>
            </a:ext>
          </a:extLst>
        </xdr:cNvPr>
        <xdr:cNvSpPr/>
      </xdr:nvSpPr>
      <xdr:spPr>
        <a:xfrm>
          <a:off x="0" y="7071360"/>
          <a:ext cx="251460" cy="236220"/>
        </a:xfrm>
        <a:prstGeom prst="mathPl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266700</xdr:colOff>
      <xdr:row>86</xdr:row>
      <xdr:rowOff>30480</xdr:rowOff>
    </xdr:from>
    <xdr:to>
      <xdr:col>0</xdr:col>
      <xdr:colOff>472440</xdr:colOff>
      <xdr:row>86</xdr:row>
      <xdr:rowOff>198120</xdr:rowOff>
    </xdr:to>
    <xdr:sp macro="[0]!Hide_5" textlink="">
      <xdr:nvSpPr>
        <xdr:cNvPr id="22" name="Minus 21">
          <a:extLst>
            <a:ext uri="{FF2B5EF4-FFF2-40B4-BE49-F238E27FC236}">
              <a16:creationId xmlns:a16="http://schemas.microsoft.com/office/drawing/2014/main" id="{00000000-0008-0000-0100-000016000000}"/>
            </a:ext>
          </a:extLst>
        </xdr:cNvPr>
        <xdr:cNvSpPr/>
      </xdr:nvSpPr>
      <xdr:spPr>
        <a:xfrm>
          <a:off x="266700" y="7101840"/>
          <a:ext cx="205740" cy="167640"/>
        </a:xfrm>
        <a:prstGeom prst="mathMin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97</xdr:row>
      <xdr:rowOff>0</xdr:rowOff>
    </xdr:from>
    <xdr:to>
      <xdr:col>0</xdr:col>
      <xdr:colOff>251460</xdr:colOff>
      <xdr:row>97</xdr:row>
      <xdr:rowOff>236220</xdr:rowOff>
    </xdr:to>
    <xdr:sp macro="[0]!Unhide_6" textlink="">
      <xdr:nvSpPr>
        <xdr:cNvPr id="32" name="Plus 31">
          <a:extLst>
            <a:ext uri="{FF2B5EF4-FFF2-40B4-BE49-F238E27FC236}">
              <a16:creationId xmlns:a16="http://schemas.microsoft.com/office/drawing/2014/main" id="{00000000-0008-0000-0100-000020000000}"/>
            </a:ext>
          </a:extLst>
        </xdr:cNvPr>
        <xdr:cNvSpPr/>
      </xdr:nvSpPr>
      <xdr:spPr>
        <a:xfrm>
          <a:off x="0" y="9319260"/>
          <a:ext cx="251460" cy="236220"/>
        </a:xfrm>
        <a:prstGeom prst="mathPl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266700</xdr:colOff>
      <xdr:row>97</xdr:row>
      <xdr:rowOff>30480</xdr:rowOff>
    </xdr:from>
    <xdr:to>
      <xdr:col>0</xdr:col>
      <xdr:colOff>472440</xdr:colOff>
      <xdr:row>97</xdr:row>
      <xdr:rowOff>198120</xdr:rowOff>
    </xdr:to>
    <xdr:sp macro="[0]!Hide_6" textlink="">
      <xdr:nvSpPr>
        <xdr:cNvPr id="33" name="Minus 32">
          <a:extLst>
            <a:ext uri="{FF2B5EF4-FFF2-40B4-BE49-F238E27FC236}">
              <a16:creationId xmlns:a16="http://schemas.microsoft.com/office/drawing/2014/main" id="{00000000-0008-0000-0100-000021000000}"/>
            </a:ext>
          </a:extLst>
        </xdr:cNvPr>
        <xdr:cNvSpPr/>
      </xdr:nvSpPr>
      <xdr:spPr>
        <a:xfrm>
          <a:off x="266700" y="9349740"/>
          <a:ext cx="205740" cy="167640"/>
        </a:xfrm>
        <a:prstGeom prst="mathMin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108</xdr:row>
      <xdr:rowOff>0</xdr:rowOff>
    </xdr:from>
    <xdr:to>
      <xdr:col>0</xdr:col>
      <xdr:colOff>251460</xdr:colOff>
      <xdr:row>108</xdr:row>
      <xdr:rowOff>236220</xdr:rowOff>
    </xdr:to>
    <xdr:sp macro="[0]!Unhide_7" textlink="">
      <xdr:nvSpPr>
        <xdr:cNvPr id="34" name="Plus 33">
          <a:extLst>
            <a:ext uri="{FF2B5EF4-FFF2-40B4-BE49-F238E27FC236}">
              <a16:creationId xmlns:a16="http://schemas.microsoft.com/office/drawing/2014/main" id="{00000000-0008-0000-0100-000022000000}"/>
            </a:ext>
          </a:extLst>
        </xdr:cNvPr>
        <xdr:cNvSpPr/>
      </xdr:nvSpPr>
      <xdr:spPr>
        <a:xfrm>
          <a:off x="0" y="9768840"/>
          <a:ext cx="251460" cy="236220"/>
        </a:xfrm>
        <a:prstGeom prst="mathPl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266700</xdr:colOff>
      <xdr:row>108</xdr:row>
      <xdr:rowOff>30480</xdr:rowOff>
    </xdr:from>
    <xdr:to>
      <xdr:col>0</xdr:col>
      <xdr:colOff>472440</xdr:colOff>
      <xdr:row>108</xdr:row>
      <xdr:rowOff>198120</xdr:rowOff>
    </xdr:to>
    <xdr:sp macro="[0]!Hide_7" textlink="">
      <xdr:nvSpPr>
        <xdr:cNvPr id="35" name="Minus 34">
          <a:extLst>
            <a:ext uri="{FF2B5EF4-FFF2-40B4-BE49-F238E27FC236}">
              <a16:creationId xmlns:a16="http://schemas.microsoft.com/office/drawing/2014/main" id="{00000000-0008-0000-0100-000023000000}"/>
            </a:ext>
          </a:extLst>
        </xdr:cNvPr>
        <xdr:cNvSpPr/>
      </xdr:nvSpPr>
      <xdr:spPr>
        <a:xfrm>
          <a:off x="266700" y="9799320"/>
          <a:ext cx="205740" cy="167640"/>
        </a:xfrm>
        <a:prstGeom prst="mathMin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131</xdr:row>
      <xdr:rowOff>0</xdr:rowOff>
    </xdr:from>
    <xdr:to>
      <xdr:col>0</xdr:col>
      <xdr:colOff>251460</xdr:colOff>
      <xdr:row>131</xdr:row>
      <xdr:rowOff>236220</xdr:rowOff>
    </xdr:to>
    <xdr:sp macro="[0]!Unhide_8" textlink="">
      <xdr:nvSpPr>
        <xdr:cNvPr id="36" name="Plus 35">
          <a:extLst>
            <a:ext uri="{FF2B5EF4-FFF2-40B4-BE49-F238E27FC236}">
              <a16:creationId xmlns:a16="http://schemas.microsoft.com/office/drawing/2014/main" id="{00000000-0008-0000-0100-000024000000}"/>
            </a:ext>
          </a:extLst>
        </xdr:cNvPr>
        <xdr:cNvSpPr/>
      </xdr:nvSpPr>
      <xdr:spPr>
        <a:xfrm>
          <a:off x="0" y="10218420"/>
          <a:ext cx="251460" cy="236220"/>
        </a:xfrm>
        <a:prstGeom prst="mathPl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259080</xdr:colOff>
      <xdr:row>131</xdr:row>
      <xdr:rowOff>30480</xdr:rowOff>
    </xdr:from>
    <xdr:to>
      <xdr:col>0</xdr:col>
      <xdr:colOff>464820</xdr:colOff>
      <xdr:row>131</xdr:row>
      <xdr:rowOff>198120</xdr:rowOff>
    </xdr:to>
    <xdr:sp macro="[0]!Hide_8" textlink="">
      <xdr:nvSpPr>
        <xdr:cNvPr id="37" name="Minus 36">
          <a:extLst>
            <a:ext uri="{FF2B5EF4-FFF2-40B4-BE49-F238E27FC236}">
              <a16:creationId xmlns:a16="http://schemas.microsoft.com/office/drawing/2014/main" id="{00000000-0008-0000-0100-000025000000}"/>
            </a:ext>
          </a:extLst>
        </xdr:cNvPr>
        <xdr:cNvSpPr/>
      </xdr:nvSpPr>
      <xdr:spPr>
        <a:xfrm>
          <a:off x="259080" y="10248900"/>
          <a:ext cx="205740" cy="167640"/>
        </a:xfrm>
        <a:prstGeom prst="mathMin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143</xdr:row>
      <xdr:rowOff>0</xdr:rowOff>
    </xdr:from>
    <xdr:to>
      <xdr:col>0</xdr:col>
      <xdr:colOff>251460</xdr:colOff>
      <xdr:row>143</xdr:row>
      <xdr:rowOff>236220</xdr:rowOff>
    </xdr:to>
    <xdr:sp macro="[0]!Unhide_9" textlink="">
      <xdr:nvSpPr>
        <xdr:cNvPr id="38" name="Plus 37">
          <a:extLst>
            <a:ext uri="{FF2B5EF4-FFF2-40B4-BE49-F238E27FC236}">
              <a16:creationId xmlns:a16="http://schemas.microsoft.com/office/drawing/2014/main" id="{00000000-0008-0000-0100-000026000000}"/>
            </a:ext>
          </a:extLst>
        </xdr:cNvPr>
        <xdr:cNvSpPr/>
      </xdr:nvSpPr>
      <xdr:spPr>
        <a:xfrm>
          <a:off x="0" y="10668000"/>
          <a:ext cx="251460" cy="236220"/>
        </a:xfrm>
        <a:prstGeom prst="mathPl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259080</xdr:colOff>
      <xdr:row>143</xdr:row>
      <xdr:rowOff>22860</xdr:rowOff>
    </xdr:from>
    <xdr:to>
      <xdr:col>0</xdr:col>
      <xdr:colOff>464820</xdr:colOff>
      <xdr:row>143</xdr:row>
      <xdr:rowOff>190500</xdr:rowOff>
    </xdr:to>
    <xdr:sp macro="[0]!Hide_9" textlink="">
      <xdr:nvSpPr>
        <xdr:cNvPr id="39" name="Minus 38">
          <a:extLst>
            <a:ext uri="{FF2B5EF4-FFF2-40B4-BE49-F238E27FC236}">
              <a16:creationId xmlns:a16="http://schemas.microsoft.com/office/drawing/2014/main" id="{00000000-0008-0000-0100-000027000000}"/>
            </a:ext>
          </a:extLst>
        </xdr:cNvPr>
        <xdr:cNvSpPr/>
      </xdr:nvSpPr>
      <xdr:spPr>
        <a:xfrm>
          <a:off x="259080" y="10690860"/>
          <a:ext cx="205740" cy="167640"/>
        </a:xfrm>
        <a:prstGeom prst="mathMin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162</xdr:row>
      <xdr:rowOff>0</xdr:rowOff>
    </xdr:from>
    <xdr:to>
      <xdr:col>0</xdr:col>
      <xdr:colOff>251460</xdr:colOff>
      <xdr:row>162</xdr:row>
      <xdr:rowOff>236220</xdr:rowOff>
    </xdr:to>
    <xdr:sp macro="[0]!Unhide_10" textlink="">
      <xdr:nvSpPr>
        <xdr:cNvPr id="40" name="Plus 39">
          <a:extLst>
            <a:ext uri="{FF2B5EF4-FFF2-40B4-BE49-F238E27FC236}">
              <a16:creationId xmlns:a16="http://schemas.microsoft.com/office/drawing/2014/main" id="{00000000-0008-0000-0100-000028000000}"/>
            </a:ext>
          </a:extLst>
        </xdr:cNvPr>
        <xdr:cNvSpPr/>
      </xdr:nvSpPr>
      <xdr:spPr>
        <a:xfrm>
          <a:off x="0" y="11117580"/>
          <a:ext cx="251460" cy="236220"/>
        </a:xfrm>
        <a:prstGeom prst="mathPl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243840</xdr:colOff>
      <xdr:row>162</xdr:row>
      <xdr:rowOff>30480</xdr:rowOff>
    </xdr:from>
    <xdr:to>
      <xdr:col>0</xdr:col>
      <xdr:colOff>449580</xdr:colOff>
      <xdr:row>162</xdr:row>
      <xdr:rowOff>198120</xdr:rowOff>
    </xdr:to>
    <xdr:sp macro="[0]!Hide_10" textlink="">
      <xdr:nvSpPr>
        <xdr:cNvPr id="41" name="Minus 40">
          <a:extLst>
            <a:ext uri="{FF2B5EF4-FFF2-40B4-BE49-F238E27FC236}">
              <a16:creationId xmlns:a16="http://schemas.microsoft.com/office/drawing/2014/main" id="{00000000-0008-0000-0100-000029000000}"/>
            </a:ext>
          </a:extLst>
        </xdr:cNvPr>
        <xdr:cNvSpPr/>
      </xdr:nvSpPr>
      <xdr:spPr>
        <a:xfrm>
          <a:off x="243840" y="11148060"/>
          <a:ext cx="205740" cy="167640"/>
        </a:xfrm>
        <a:prstGeom prst="mathMin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207</xdr:row>
      <xdr:rowOff>0</xdr:rowOff>
    </xdr:from>
    <xdr:to>
      <xdr:col>0</xdr:col>
      <xdr:colOff>251460</xdr:colOff>
      <xdr:row>207</xdr:row>
      <xdr:rowOff>236220</xdr:rowOff>
    </xdr:to>
    <xdr:sp macro="[0]!Unhide_12" textlink="">
      <xdr:nvSpPr>
        <xdr:cNvPr id="42" name="Plus 41">
          <a:extLst>
            <a:ext uri="{FF2B5EF4-FFF2-40B4-BE49-F238E27FC236}">
              <a16:creationId xmlns:a16="http://schemas.microsoft.com/office/drawing/2014/main" id="{00000000-0008-0000-0100-00002A000000}"/>
            </a:ext>
          </a:extLst>
        </xdr:cNvPr>
        <xdr:cNvSpPr/>
      </xdr:nvSpPr>
      <xdr:spPr>
        <a:xfrm>
          <a:off x="0" y="11567160"/>
          <a:ext cx="251460" cy="236220"/>
        </a:xfrm>
        <a:prstGeom prst="mathPl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251460</xdr:colOff>
      <xdr:row>207</xdr:row>
      <xdr:rowOff>30480</xdr:rowOff>
    </xdr:from>
    <xdr:to>
      <xdr:col>0</xdr:col>
      <xdr:colOff>457200</xdr:colOff>
      <xdr:row>207</xdr:row>
      <xdr:rowOff>198120</xdr:rowOff>
    </xdr:to>
    <xdr:sp macro="[0]!Hide_12" textlink="">
      <xdr:nvSpPr>
        <xdr:cNvPr id="43" name="Minus 42">
          <a:extLst>
            <a:ext uri="{FF2B5EF4-FFF2-40B4-BE49-F238E27FC236}">
              <a16:creationId xmlns:a16="http://schemas.microsoft.com/office/drawing/2014/main" id="{00000000-0008-0000-0100-00002B000000}"/>
            </a:ext>
          </a:extLst>
        </xdr:cNvPr>
        <xdr:cNvSpPr/>
      </xdr:nvSpPr>
      <xdr:spPr>
        <a:xfrm>
          <a:off x="251460" y="11597640"/>
          <a:ext cx="205740" cy="167640"/>
        </a:xfrm>
        <a:prstGeom prst="mathMin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224</xdr:row>
      <xdr:rowOff>0</xdr:rowOff>
    </xdr:from>
    <xdr:to>
      <xdr:col>0</xdr:col>
      <xdr:colOff>251460</xdr:colOff>
      <xdr:row>224</xdr:row>
      <xdr:rowOff>236220</xdr:rowOff>
    </xdr:to>
    <xdr:sp macro="[0]!Unhide_13" textlink="">
      <xdr:nvSpPr>
        <xdr:cNvPr id="44" name="Plus 43">
          <a:extLst>
            <a:ext uri="{FF2B5EF4-FFF2-40B4-BE49-F238E27FC236}">
              <a16:creationId xmlns:a16="http://schemas.microsoft.com/office/drawing/2014/main" id="{00000000-0008-0000-0100-00002C000000}"/>
            </a:ext>
          </a:extLst>
        </xdr:cNvPr>
        <xdr:cNvSpPr/>
      </xdr:nvSpPr>
      <xdr:spPr>
        <a:xfrm>
          <a:off x="0" y="12016740"/>
          <a:ext cx="251460" cy="236220"/>
        </a:xfrm>
        <a:prstGeom prst="mathPl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251460</xdr:colOff>
      <xdr:row>224</xdr:row>
      <xdr:rowOff>30480</xdr:rowOff>
    </xdr:from>
    <xdr:to>
      <xdr:col>0</xdr:col>
      <xdr:colOff>457200</xdr:colOff>
      <xdr:row>224</xdr:row>
      <xdr:rowOff>198120</xdr:rowOff>
    </xdr:to>
    <xdr:sp macro="[0]!Hide_13" textlink="">
      <xdr:nvSpPr>
        <xdr:cNvPr id="45" name="Minus 44">
          <a:extLst>
            <a:ext uri="{FF2B5EF4-FFF2-40B4-BE49-F238E27FC236}">
              <a16:creationId xmlns:a16="http://schemas.microsoft.com/office/drawing/2014/main" id="{00000000-0008-0000-0100-00002D000000}"/>
            </a:ext>
          </a:extLst>
        </xdr:cNvPr>
        <xdr:cNvSpPr/>
      </xdr:nvSpPr>
      <xdr:spPr>
        <a:xfrm>
          <a:off x="251460" y="12047220"/>
          <a:ext cx="205740" cy="167640"/>
        </a:xfrm>
        <a:prstGeom prst="mathMin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239</xdr:row>
      <xdr:rowOff>0</xdr:rowOff>
    </xdr:from>
    <xdr:to>
      <xdr:col>0</xdr:col>
      <xdr:colOff>251460</xdr:colOff>
      <xdr:row>239</xdr:row>
      <xdr:rowOff>236220</xdr:rowOff>
    </xdr:to>
    <xdr:sp macro="[0]!Unhide_14" textlink="">
      <xdr:nvSpPr>
        <xdr:cNvPr id="48" name="Plus 47">
          <a:extLst>
            <a:ext uri="{FF2B5EF4-FFF2-40B4-BE49-F238E27FC236}">
              <a16:creationId xmlns:a16="http://schemas.microsoft.com/office/drawing/2014/main" id="{00000000-0008-0000-0100-000030000000}"/>
            </a:ext>
          </a:extLst>
        </xdr:cNvPr>
        <xdr:cNvSpPr/>
      </xdr:nvSpPr>
      <xdr:spPr>
        <a:xfrm>
          <a:off x="0" y="12915900"/>
          <a:ext cx="251460" cy="236220"/>
        </a:xfrm>
        <a:prstGeom prst="mathPl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274320</xdr:colOff>
      <xdr:row>239</xdr:row>
      <xdr:rowOff>30480</xdr:rowOff>
    </xdr:from>
    <xdr:to>
      <xdr:col>0</xdr:col>
      <xdr:colOff>480060</xdr:colOff>
      <xdr:row>239</xdr:row>
      <xdr:rowOff>198120</xdr:rowOff>
    </xdr:to>
    <xdr:sp macro="[0]!Hide_14" textlink="">
      <xdr:nvSpPr>
        <xdr:cNvPr id="49" name="Minus 48">
          <a:extLst>
            <a:ext uri="{FF2B5EF4-FFF2-40B4-BE49-F238E27FC236}">
              <a16:creationId xmlns:a16="http://schemas.microsoft.com/office/drawing/2014/main" id="{00000000-0008-0000-0100-000031000000}"/>
            </a:ext>
          </a:extLst>
        </xdr:cNvPr>
        <xdr:cNvSpPr/>
      </xdr:nvSpPr>
      <xdr:spPr>
        <a:xfrm>
          <a:off x="274320" y="12946380"/>
          <a:ext cx="205740" cy="167640"/>
        </a:xfrm>
        <a:prstGeom prst="mathMin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199</xdr:row>
      <xdr:rowOff>0</xdr:rowOff>
    </xdr:from>
    <xdr:to>
      <xdr:col>0</xdr:col>
      <xdr:colOff>251460</xdr:colOff>
      <xdr:row>199</xdr:row>
      <xdr:rowOff>236220</xdr:rowOff>
    </xdr:to>
    <xdr:sp macro="[0]!Unhide_11" textlink="">
      <xdr:nvSpPr>
        <xdr:cNvPr id="29" name="Plus 28">
          <a:extLst>
            <a:ext uri="{FF2B5EF4-FFF2-40B4-BE49-F238E27FC236}">
              <a16:creationId xmlns:a16="http://schemas.microsoft.com/office/drawing/2014/main" id="{00000000-0008-0000-0100-00001D000000}"/>
            </a:ext>
          </a:extLst>
        </xdr:cNvPr>
        <xdr:cNvSpPr/>
      </xdr:nvSpPr>
      <xdr:spPr>
        <a:xfrm>
          <a:off x="0" y="17306925"/>
          <a:ext cx="251460" cy="236220"/>
        </a:xfrm>
        <a:prstGeom prst="mathPl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251460</xdr:colOff>
      <xdr:row>199</xdr:row>
      <xdr:rowOff>30480</xdr:rowOff>
    </xdr:from>
    <xdr:to>
      <xdr:col>0</xdr:col>
      <xdr:colOff>457200</xdr:colOff>
      <xdr:row>199</xdr:row>
      <xdr:rowOff>198120</xdr:rowOff>
    </xdr:to>
    <xdr:sp macro="[0]!Hide_11" textlink="">
      <xdr:nvSpPr>
        <xdr:cNvPr id="30" name="Minus 29">
          <a:extLst>
            <a:ext uri="{FF2B5EF4-FFF2-40B4-BE49-F238E27FC236}">
              <a16:creationId xmlns:a16="http://schemas.microsoft.com/office/drawing/2014/main" id="{00000000-0008-0000-0100-00001E000000}"/>
            </a:ext>
          </a:extLst>
        </xdr:cNvPr>
        <xdr:cNvSpPr/>
      </xdr:nvSpPr>
      <xdr:spPr>
        <a:xfrm>
          <a:off x="251460" y="17337405"/>
          <a:ext cx="205740" cy="167640"/>
        </a:xfrm>
        <a:prstGeom prst="mathMinus">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209550</xdr:colOff>
      <xdr:row>12</xdr:row>
      <xdr:rowOff>180975</xdr:rowOff>
    </xdr:from>
    <xdr:to>
      <xdr:col>22</xdr:col>
      <xdr:colOff>485775</xdr:colOff>
      <xdr:row>40</xdr:row>
      <xdr:rowOff>47625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10"/>
  <sheetViews>
    <sheetView workbookViewId="0">
      <selection activeCell="D11" sqref="D11"/>
    </sheetView>
  </sheetViews>
  <sheetFormatPr defaultRowHeight="15" x14ac:dyDescent="0.25"/>
  <cols>
    <col min="1" max="1" width="17.7109375" customWidth="1"/>
    <col min="2" max="2" width="15" customWidth="1"/>
    <col min="3" max="3" width="17.28515625" customWidth="1"/>
    <col min="4" max="4" width="14" customWidth="1"/>
    <col min="5" max="5" width="17.5703125" customWidth="1"/>
  </cols>
  <sheetData>
    <row r="1" spans="1:5" x14ac:dyDescent="0.25">
      <c r="A1" s="10"/>
      <c r="B1" s="19"/>
      <c r="D1" s="19"/>
    </row>
    <row r="2" spans="1:5" ht="14.45" customHeight="1" x14ac:dyDescent="0.25">
      <c r="A2" s="10" t="s">
        <v>0</v>
      </c>
      <c r="B2" s="20" t="s">
        <v>1</v>
      </c>
      <c r="C2" s="20" t="s">
        <v>2</v>
      </c>
      <c r="D2" s="20">
        <v>24</v>
      </c>
      <c r="E2" s="20" t="s">
        <v>3</v>
      </c>
    </row>
    <row r="3" spans="1:5" ht="14.45" customHeight="1" x14ac:dyDescent="0.25">
      <c r="A3" s="10" t="s">
        <v>4</v>
      </c>
      <c r="B3" s="20" t="s">
        <v>5</v>
      </c>
      <c r="C3" s="20" t="s">
        <v>6</v>
      </c>
      <c r="D3" s="20">
        <v>10</v>
      </c>
      <c r="E3" s="20" t="s">
        <v>7</v>
      </c>
    </row>
    <row r="4" spans="1:5" ht="14.45" customHeight="1" x14ac:dyDescent="0.25">
      <c r="A4" s="10" t="s">
        <v>8</v>
      </c>
      <c r="B4" s="20" t="s">
        <v>9</v>
      </c>
      <c r="C4" s="20" t="s">
        <v>10</v>
      </c>
      <c r="D4" s="20">
        <v>15</v>
      </c>
    </row>
    <row r="5" spans="1:5" ht="14.45" customHeight="1" x14ac:dyDescent="0.25">
      <c r="A5" s="10" t="s">
        <v>11</v>
      </c>
      <c r="B5" s="20" t="s">
        <v>12</v>
      </c>
      <c r="C5" s="20" t="s">
        <v>13</v>
      </c>
      <c r="D5" s="20">
        <v>14.4</v>
      </c>
    </row>
    <row r="6" spans="1:5" ht="14.45" customHeight="1" x14ac:dyDescent="0.25">
      <c r="A6" s="10" t="s">
        <v>14</v>
      </c>
      <c r="B6" s="20" t="s">
        <v>15</v>
      </c>
      <c r="C6" s="20" t="s">
        <v>16</v>
      </c>
      <c r="D6" s="20">
        <v>12</v>
      </c>
    </row>
    <row r="7" spans="1:5" ht="14.45" customHeight="1" x14ac:dyDescent="0.25">
      <c r="B7" s="20" t="s">
        <v>17</v>
      </c>
      <c r="C7" s="20" t="s">
        <v>18</v>
      </c>
    </row>
    <row r="8" spans="1:5" ht="30" x14ac:dyDescent="0.25">
      <c r="B8" s="20" t="s">
        <v>19</v>
      </c>
      <c r="C8" s="20" t="s">
        <v>20</v>
      </c>
    </row>
    <row r="9" spans="1:5" x14ac:dyDescent="0.25">
      <c r="B9" s="20" t="s">
        <v>21</v>
      </c>
    </row>
    <row r="10" spans="1:5" x14ac:dyDescent="0.25">
      <c r="B10" s="20" t="s">
        <v>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J257"/>
  <sheetViews>
    <sheetView tabSelected="1" topLeftCell="A32" zoomScaleNormal="100" workbookViewId="0">
      <selection activeCell="E46" sqref="E46:J46"/>
    </sheetView>
  </sheetViews>
  <sheetFormatPr defaultColWidth="8.85546875" defaultRowHeight="15" x14ac:dyDescent="0.25"/>
  <cols>
    <col min="1" max="1" width="27" customWidth="1"/>
    <col min="2" max="2" width="36" customWidth="1"/>
    <col min="3" max="3" width="22.7109375" customWidth="1"/>
    <col min="4" max="4" width="13.7109375" style="10" customWidth="1"/>
    <col min="5" max="5" width="7.140625" customWidth="1"/>
    <col min="6" max="6" width="7" customWidth="1"/>
    <col min="7" max="7" width="15" customWidth="1"/>
    <col min="8" max="8" width="19" customWidth="1"/>
    <col min="9" max="9" width="10.7109375" customWidth="1"/>
    <col min="10" max="10" width="8.85546875" customWidth="1"/>
  </cols>
  <sheetData>
    <row r="1" spans="1:10" ht="21" x14ac:dyDescent="0.35">
      <c r="A1" s="53" t="s">
        <v>23</v>
      </c>
      <c r="B1" s="54"/>
      <c r="C1" s="54"/>
      <c r="D1" s="54"/>
      <c r="E1" s="54"/>
      <c r="F1" s="54"/>
      <c r="G1" s="54"/>
      <c r="H1" s="54"/>
      <c r="I1" s="54"/>
      <c r="J1" s="54"/>
    </row>
    <row r="2" spans="1:10" x14ac:dyDescent="0.25">
      <c r="A2" s="9"/>
      <c r="B2" s="9"/>
      <c r="C2" s="9"/>
      <c r="D2" s="37"/>
      <c r="E2" s="9"/>
      <c r="F2" s="9"/>
      <c r="G2" s="55" t="s">
        <v>24</v>
      </c>
      <c r="H2" s="55"/>
      <c r="I2" s="55"/>
      <c r="J2" s="9"/>
    </row>
    <row r="3" spans="1:10" x14ac:dyDescent="0.25">
      <c r="A3" s="9"/>
      <c r="B3" s="7" t="s">
        <v>25</v>
      </c>
      <c r="C3" s="37" t="s">
        <v>26</v>
      </c>
      <c r="D3" s="37" t="s">
        <v>27</v>
      </c>
      <c r="E3" s="9"/>
      <c r="F3" s="9"/>
      <c r="G3" s="18" t="s">
        <v>28</v>
      </c>
      <c r="H3" s="18" t="s">
        <v>29</v>
      </c>
      <c r="I3" s="18" t="s">
        <v>30</v>
      </c>
      <c r="J3" s="9"/>
    </row>
    <row r="4" spans="1:10" x14ac:dyDescent="0.25">
      <c r="A4" s="9"/>
      <c r="B4" s="7"/>
      <c r="C4" s="9"/>
      <c r="D4" s="37"/>
      <c r="E4" s="9"/>
      <c r="F4" s="9"/>
      <c r="G4" s="38"/>
      <c r="H4" s="38"/>
      <c r="I4" s="34"/>
      <c r="J4" s="9"/>
    </row>
    <row r="5" spans="1:10" x14ac:dyDescent="0.25">
      <c r="A5" s="9"/>
      <c r="B5" s="8" t="s">
        <v>31</v>
      </c>
      <c r="C5" s="33"/>
      <c r="D5" s="33"/>
      <c r="E5" s="9"/>
      <c r="F5" s="9"/>
      <c r="G5" s="38"/>
      <c r="H5" s="38"/>
      <c r="I5" s="34"/>
      <c r="J5" s="9"/>
    </row>
    <row r="6" spans="1:10" x14ac:dyDescent="0.25">
      <c r="A6" s="9"/>
      <c r="B6" s="8" t="s">
        <v>32</v>
      </c>
      <c r="C6" s="33"/>
      <c r="D6" s="33"/>
      <c r="E6" s="9"/>
      <c r="F6" s="9"/>
      <c r="G6" s="38"/>
      <c r="H6" s="38"/>
      <c r="I6" s="34"/>
      <c r="J6" s="9"/>
    </row>
    <row r="7" spans="1:10" x14ac:dyDescent="0.25">
      <c r="A7" s="9"/>
      <c r="B7" s="8" t="s">
        <v>33</v>
      </c>
      <c r="C7" s="33"/>
      <c r="D7" s="33"/>
      <c r="E7" s="9"/>
      <c r="F7" s="9"/>
      <c r="G7" s="38"/>
      <c r="H7" s="38"/>
      <c r="I7" s="34"/>
      <c r="J7" s="9"/>
    </row>
    <row r="8" spans="1:10" x14ac:dyDescent="0.25">
      <c r="A8" s="9"/>
      <c r="B8" s="8" t="s">
        <v>34</v>
      </c>
      <c r="C8" s="33"/>
      <c r="D8" s="33"/>
      <c r="E8" s="9"/>
      <c r="F8" s="9"/>
      <c r="G8" s="38"/>
      <c r="H8" s="38"/>
      <c r="I8" s="34"/>
      <c r="J8" s="9"/>
    </row>
    <row r="9" spans="1:10" x14ac:dyDescent="0.25">
      <c r="A9" s="9"/>
      <c r="B9" s="8" t="s">
        <v>35</v>
      </c>
      <c r="C9" s="33"/>
      <c r="D9" s="33"/>
      <c r="E9" s="9"/>
      <c r="F9" s="9"/>
      <c r="G9" s="38"/>
      <c r="H9" s="38"/>
      <c r="I9" s="34"/>
      <c r="J9" s="9"/>
    </row>
    <row r="10" spans="1:10" x14ac:dyDescent="0.25">
      <c r="A10" s="9"/>
      <c r="B10" s="8" t="s">
        <v>36</v>
      </c>
      <c r="C10" s="33"/>
      <c r="D10" s="33"/>
      <c r="E10" s="9"/>
      <c r="F10" s="9"/>
      <c r="G10" s="38"/>
      <c r="H10" s="38"/>
      <c r="I10" s="34"/>
      <c r="J10" s="9"/>
    </row>
    <row r="11" spans="1:10" x14ac:dyDescent="0.25">
      <c r="A11" s="9"/>
      <c r="B11" s="8" t="s">
        <v>37</v>
      </c>
      <c r="C11" s="33"/>
      <c r="D11" s="33"/>
      <c r="E11" s="9"/>
      <c r="F11" s="9"/>
      <c r="G11" s="38"/>
      <c r="H11" s="38"/>
      <c r="I11" s="34"/>
      <c r="J11" s="9"/>
    </row>
    <row r="12" spans="1:10" x14ac:dyDescent="0.25">
      <c r="A12" s="9"/>
      <c r="B12" s="8" t="s">
        <v>38</v>
      </c>
      <c r="C12" s="33"/>
      <c r="D12" s="33"/>
      <c r="E12" s="9"/>
      <c r="F12" s="9"/>
      <c r="G12" s="38"/>
      <c r="H12" s="38"/>
      <c r="I12" s="34"/>
      <c r="J12" s="9"/>
    </row>
    <row r="13" spans="1:10" x14ac:dyDescent="0.25">
      <c r="A13" s="9"/>
      <c r="B13" s="8" t="s">
        <v>39</v>
      </c>
      <c r="C13" s="33"/>
      <c r="D13" s="33"/>
      <c r="E13" s="9"/>
      <c r="F13" s="9"/>
      <c r="G13" s="38"/>
      <c r="H13" s="38"/>
      <c r="I13" s="34"/>
      <c r="J13" s="9"/>
    </row>
    <row r="14" spans="1:10" x14ac:dyDescent="0.25">
      <c r="A14" s="9"/>
      <c r="B14" s="8" t="s">
        <v>40</v>
      </c>
      <c r="C14" s="33"/>
      <c r="D14" s="33"/>
      <c r="E14" s="9"/>
      <c r="F14" s="9"/>
      <c r="G14" s="55" t="s">
        <v>41</v>
      </c>
      <c r="H14" s="55"/>
      <c r="I14" s="55"/>
      <c r="J14" s="9"/>
    </row>
    <row r="15" spans="1:10" x14ac:dyDescent="0.25">
      <c r="A15" s="9"/>
      <c r="B15" s="8" t="s">
        <v>42</v>
      </c>
      <c r="C15" s="33"/>
      <c r="D15" s="33"/>
      <c r="E15" s="9"/>
      <c r="F15" s="9"/>
      <c r="G15" s="18" t="s">
        <v>28</v>
      </c>
      <c r="H15" s="18" t="s">
        <v>29</v>
      </c>
      <c r="I15" s="18" t="s">
        <v>30</v>
      </c>
      <c r="J15" s="9"/>
    </row>
    <row r="16" spans="1:10" x14ac:dyDescent="0.25">
      <c r="A16" s="9"/>
      <c r="B16" s="8" t="s">
        <v>43</v>
      </c>
      <c r="C16" s="33"/>
      <c r="D16" s="33"/>
      <c r="E16" s="9"/>
      <c r="F16" s="9"/>
      <c r="G16" s="38"/>
      <c r="H16" s="38"/>
      <c r="I16" s="34"/>
      <c r="J16" s="9"/>
    </row>
    <row r="17" spans="1:10" x14ac:dyDescent="0.25">
      <c r="A17" s="9"/>
      <c r="B17" s="8" t="s">
        <v>44</v>
      </c>
      <c r="C17" s="33"/>
      <c r="D17" s="33"/>
      <c r="E17" s="9"/>
      <c r="F17" s="9"/>
      <c r="G17" s="38"/>
      <c r="H17" s="38"/>
      <c r="I17" s="34"/>
      <c r="J17" s="9"/>
    </row>
    <row r="18" spans="1:10" x14ac:dyDescent="0.25">
      <c r="A18" s="9"/>
      <c r="B18" s="8" t="s">
        <v>45</v>
      </c>
      <c r="C18" s="33"/>
      <c r="D18" s="33"/>
      <c r="E18" s="9"/>
      <c r="F18" s="9"/>
      <c r="G18" s="38"/>
      <c r="H18" s="38"/>
      <c r="I18" s="34"/>
      <c r="J18" s="9"/>
    </row>
    <row r="19" spans="1:10" x14ac:dyDescent="0.25">
      <c r="A19" s="9"/>
      <c r="B19" s="8"/>
      <c r="C19" s="37"/>
      <c r="D19" s="37"/>
      <c r="E19" s="9"/>
      <c r="F19" s="9"/>
      <c r="G19" s="38"/>
      <c r="H19" s="38"/>
      <c r="I19" s="34"/>
      <c r="J19" s="9"/>
    </row>
    <row r="20" spans="1:10" x14ac:dyDescent="0.25">
      <c r="A20" s="9"/>
      <c r="B20" s="8"/>
      <c r="C20" s="10"/>
      <c r="E20" s="9"/>
      <c r="F20" s="9"/>
      <c r="G20" s="38"/>
      <c r="H20" s="38"/>
      <c r="I20" s="34"/>
      <c r="J20" s="9"/>
    </row>
    <row r="21" spans="1:10" x14ac:dyDescent="0.25">
      <c r="A21" s="9"/>
      <c r="B21" s="8"/>
      <c r="C21" s="10"/>
      <c r="E21" s="9"/>
      <c r="F21" s="9"/>
      <c r="G21" s="38"/>
      <c r="H21" s="38"/>
      <c r="I21" s="34"/>
      <c r="J21" s="9"/>
    </row>
    <row r="22" spans="1:10" x14ac:dyDescent="0.25">
      <c r="A22" s="9"/>
      <c r="B22" s="8"/>
      <c r="C22" s="10"/>
      <c r="E22" s="9"/>
      <c r="F22" s="9"/>
      <c r="G22" s="38"/>
      <c r="H22" s="38"/>
      <c r="I22" s="34"/>
      <c r="J22" s="9"/>
    </row>
    <row r="23" spans="1:10" ht="14.45" customHeight="1" x14ac:dyDescent="0.25">
      <c r="A23" s="9"/>
      <c r="B23" s="8"/>
      <c r="C23" s="37"/>
      <c r="D23" s="37"/>
      <c r="E23" s="9"/>
      <c r="F23" s="9"/>
      <c r="G23" s="38"/>
      <c r="H23" s="38"/>
      <c r="I23" s="38"/>
      <c r="J23" s="9"/>
    </row>
    <row r="24" spans="1:10" ht="14.45" customHeight="1" x14ac:dyDescent="0.25">
      <c r="A24" s="9"/>
      <c r="B24" s="8"/>
      <c r="C24" s="37"/>
      <c r="D24" s="37"/>
      <c r="E24" s="9"/>
      <c r="F24" s="9"/>
      <c r="G24" s="38"/>
      <c r="H24" s="38"/>
      <c r="I24" s="38"/>
      <c r="J24" s="9"/>
    </row>
    <row r="25" spans="1:10" ht="16.899999999999999" customHeight="1" x14ac:dyDescent="0.25">
      <c r="A25" s="9"/>
      <c r="B25" s="6"/>
      <c r="C25" s="9"/>
      <c r="D25" s="37"/>
      <c r="E25" s="27"/>
      <c r="F25" s="27"/>
      <c r="G25" s="38"/>
      <c r="H25" s="38"/>
      <c r="I25" s="38"/>
      <c r="J25" s="27"/>
    </row>
    <row r="26" spans="1:10" ht="21" x14ac:dyDescent="0.25">
      <c r="A26" s="47" t="s">
        <v>31</v>
      </c>
      <c r="B26" s="47"/>
      <c r="C26" s="47"/>
      <c r="D26" s="47"/>
      <c r="E26" s="47"/>
      <c r="F26" s="47"/>
      <c r="G26" s="47"/>
      <c r="H26" s="47"/>
      <c r="I26" s="47"/>
      <c r="J26" s="47"/>
    </row>
    <row r="27" spans="1:10" x14ac:dyDescent="0.25">
      <c r="A27" s="50" t="s">
        <v>46</v>
      </c>
      <c r="B27" s="50"/>
      <c r="C27" s="50"/>
      <c r="D27" s="50"/>
      <c r="E27" s="50"/>
      <c r="F27" s="50"/>
      <c r="G27" s="50"/>
      <c r="H27" s="50"/>
      <c r="I27" s="50"/>
      <c r="J27" s="50"/>
    </row>
    <row r="28" spans="1:10" s="13" customFormat="1" ht="14.45" customHeight="1" x14ac:dyDescent="0.2">
      <c r="A28" s="26" t="s">
        <v>47</v>
      </c>
      <c r="B28" s="35"/>
      <c r="C28" s="11"/>
      <c r="D28" s="5"/>
      <c r="E28" s="5"/>
      <c r="F28" s="5"/>
      <c r="G28" s="5"/>
      <c r="H28" s="5"/>
      <c r="I28" s="5"/>
      <c r="J28" s="5"/>
    </row>
    <row r="29" spans="1:10" s="13" customFormat="1" ht="14.45" customHeight="1" x14ac:dyDescent="0.2">
      <c r="A29" s="26" t="s">
        <v>48</v>
      </c>
      <c r="B29" s="35"/>
      <c r="C29" s="11"/>
      <c r="D29" s="11"/>
      <c r="E29" s="5"/>
      <c r="F29" s="5"/>
      <c r="G29" s="5"/>
      <c r="H29" s="5"/>
      <c r="I29" s="5"/>
      <c r="J29" s="5"/>
    </row>
    <row r="30" spans="1:10" s="13" customFormat="1" ht="14.45" customHeight="1" x14ac:dyDescent="0.2">
      <c r="A30" s="26" t="s">
        <v>49</v>
      </c>
      <c r="B30" s="35"/>
      <c r="C30" s="36"/>
      <c r="D30" s="36"/>
      <c r="E30" s="5"/>
      <c r="F30" s="5"/>
      <c r="G30" s="5"/>
      <c r="H30" s="5"/>
      <c r="I30" s="5"/>
      <c r="J30" s="5"/>
    </row>
    <row r="31" spans="1:10" s="13" customFormat="1" ht="14.45" customHeight="1" x14ac:dyDescent="0.2">
      <c r="A31" s="26" t="s">
        <v>50</v>
      </c>
      <c r="B31" s="35"/>
      <c r="C31" s="36"/>
      <c r="D31" s="36"/>
      <c r="E31" s="5"/>
      <c r="F31" s="5"/>
      <c r="G31" s="5"/>
      <c r="H31" s="5"/>
      <c r="I31" s="5"/>
      <c r="J31" s="5"/>
    </row>
    <row r="32" spans="1:10" s="13" customFormat="1" ht="14.45" customHeight="1" x14ac:dyDescent="0.2">
      <c r="A32" s="26" t="s">
        <v>51</v>
      </c>
      <c r="B32" s="35"/>
      <c r="C32" s="26" t="s">
        <v>52</v>
      </c>
      <c r="D32" s="35"/>
      <c r="E32" s="15" t="s">
        <v>53</v>
      </c>
      <c r="F32" s="5"/>
      <c r="G32" s="5"/>
      <c r="H32" s="5"/>
      <c r="I32" s="5"/>
      <c r="J32" s="5"/>
    </row>
    <row r="33" spans="1:10" s="13" customFormat="1" ht="14.45" customHeight="1" x14ac:dyDescent="0.2">
      <c r="A33" s="26" t="s">
        <v>54</v>
      </c>
      <c r="B33" s="35"/>
      <c r="C33" s="26" t="s">
        <v>55</v>
      </c>
      <c r="D33" s="35"/>
      <c r="E33" s="15" t="s">
        <v>53</v>
      </c>
      <c r="F33" s="5"/>
      <c r="G33" s="5"/>
      <c r="H33" s="5"/>
      <c r="I33" s="5"/>
      <c r="J33" s="5"/>
    </row>
    <row r="34" spans="1:10" x14ac:dyDescent="0.25">
      <c r="A34" s="49" t="s">
        <v>56</v>
      </c>
      <c r="B34" s="49"/>
      <c r="C34" s="49"/>
      <c r="D34" s="49"/>
      <c r="E34" s="49"/>
      <c r="F34" s="49"/>
      <c r="G34" s="49"/>
      <c r="H34" s="49"/>
      <c r="I34" s="49"/>
      <c r="J34" s="49"/>
    </row>
    <row r="35" spans="1:10" s="13" customFormat="1" ht="14.45" customHeight="1" x14ac:dyDescent="0.2">
      <c r="A35" s="26" t="s">
        <v>57</v>
      </c>
      <c r="B35" s="35"/>
      <c r="C35" s="15" t="s">
        <v>58</v>
      </c>
      <c r="D35" s="36"/>
      <c r="E35" s="15"/>
      <c r="F35" s="5"/>
      <c r="G35" s="5"/>
      <c r="H35" s="5"/>
      <c r="I35" s="5"/>
      <c r="J35" s="5"/>
    </row>
    <row r="36" spans="1:10" s="13" customFormat="1" ht="14.45" customHeight="1" x14ac:dyDescent="0.2">
      <c r="A36" s="26" t="s">
        <v>59</v>
      </c>
      <c r="B36" s="35"/>
      <c r="C36" s="15" t="s">
        <v>58</v>
      </c>
      <c r="D36" s="36"/>
      <c r="E36" s="15"/>
      <c r="F36" s="5"/>
      <c r="G36" s="5"/>
      <c r="H36" s="5"/>
      <c r="I36" s="5"/>
      <c r="J36" s="5"/>
    </row>
    <row r="37" spans="1:10" s="13" customFormat="1" ht="14.45" customHeight="1" x14ac:dyDescent="0.2">
      <c r="A37" s="26" t="s">
        <v>60</v>
      </c>
      <c r="B37" s="35"/>
      <c r="C37" s="15" t="s">
        <v>61</v>
      </c>
      <c r="D37" s="36"/>
      <c r="E37" s="15"/>
      <c r="F37" s="26" t="s">
        <v>62</v>
      </c>
      <c r="G37" s="35"/>
      <c r="H37" s="15" t="s">
        <v>63</v>
      </c>
      <c r="I37" s="5"/>
      <c r="J37" s="5"/>
    </row>
    <row r="38" spans="1:10" s="13" customFormat="1" ht="14.45" customHeight="1" x14ac:dyDescent="0.2">
      <c r="A38" s="26" t="s">
        <v>64</v>
      </c>
      <c r="B38" s="35"/>
      <c r="C38" s="15" t="s">
        <v>65</v>
      </c>
      <c r="D38" s="36"/>
      <c r="E38" s="15"/>
      <c r="F38" s="26" t="s">
        <v>66</v>
      </c>
      <c r="G38" s="35"/>
      <c r="H38" s="15" t="s">
        <v>63</v>
      </c>
      <c r="I38" s="5"/>
      <c r="J38" s="5"/>
    </row>
    <row r="39" spans="1:10" s="13" customFormat="1" ht="14.45" customHeight="1" x14ac:dyDescent="0.2">
      <c r="A39" s="26" t="s">
        <v>67</v>
      </c>
      <c r="B39" s="48"/>
      <c r="C39" s="48"/>
      <c r="D39" s="48"/>
      <c r="E39" s="48"/>
      <c r="F39" s="48"/>
      <c r="G39" s="48"/>
      <c r="H39" s="48"/>
      <c r="I39" s="48"/>
      <c r="J39" s="48"/>
    </row>
    <row r="40" spans="1:10" s="13" customFormat="1" ht="14.45" customHeight="1" x14ac:dyDescent="0.2">
      <c r="A40" s="48"/>
      <c r="B40" s="48"/>
      <c r="C40" s="48"/>
      <c r="D40" s="48"/>
      <c r="E40" s="48"/>
      <c r="F40" s="48"/>
      <c r="G40" s="48"/>
      <c r="H40" s="48"/>
      <c r="I40" s="48"/>
      <c r="J40" s="48"/>
    </row>
    <row r="41" spans="1:10" s="13" customFormat="1" ht="14.45" customHeight="1" x14ac:dyDescent="0.2">
      <c r="A41" s="48"/>
      <c r="B41" s="48"/>
      <c r="C41" s="48"/>
      <c r="D41" s="48"/>
      <c r="E41" s="48"/>
      <c r="F41" s="48"/>
      <c r="G41" s="48"/>
      <c r="H41" s="48"/>
      <c r="I41" s="48"/>
      <c r="J41" s="48"/>
    </row>
    <row r="42" spans="1:10" s="13" customFormat="1" ht="14.45" customHeight="1" x14ac:dyDescent="0.2">
      <c r="A42" s="11"/>
      <c r="B42" s="5"/>
      <c r="C42" s="11"/>
      <c r="D42" s="12"/>
      <c r="E42" s="11"/>
      <c r="F42" s="11"/>
      <c r="G42" s="11"/>
      <c r="H42" s="11"/>
      <c r="I42" s="11"/>
      <c r="J42" s="11"/>
    </row>
    <row r="43" spans="1:10" ht="21" x14ac:dyDescent="0.25">
      <c r="A43" s="47" t="s">
        <v>32</v>
      </c>
      <c r="B43" s="47"/>
      <c r="C43" s="47"/>
      <c r="D43" s="47"/>
      <c r="E43" s="47"/>
      <c r="F43" s="47"/>
      <c r="G43" s="47"/>
      <c r="H43" s="47"/>
      <c r="I43" s="47"/>
      <c r="J43" s="47"/>
    </row>
    <row r="44" spans="1:10" s="13" customFormat="1" ht="14.45" customHeight="1" x14ac:dyDescent="0.2">
      <c r="A44" s="45" t="s">
        <v>68</v>
      </c>
      <c r="B44" s="45"/>
      <c r="C44" s="45"/>
      <c r="D44" s="45"/>
      <c r="E44" s="45"/>
      <c r="F44" s="45"/>
      <c r="G44" s="45"/>
      <c r="H44" s="45"/>
      <c r="I44" s="45"/>
      <c r="J44" s="45"/>
    </row>
    <row r="45" spans="1:10" s="13" customFormat="1" ht="14.45" customHeight="1" x14ac:dyDescent="0.2">
      <c r="A45" s="26" t="s">
        <v>69</v>
      </c>
      <c r="B45" s="48" t="s">
        <v>244</v>
      </c>
      <c r="C45" s="48"/>
      <c r="D45" s="26" t="s">
        <v>70</v>
      </c>
      <c r="E45" s="48" t="s">
        <v>244</v>
      </c>
      <c r="F45" s="48"/>
      <c r="G45" s="48"/>
      <c r="H45" s="48"/>
      <c r="I45" s="48"/>
      <c r="J45" s="48"/>
    </row>
    <row r="46" spans="1:10" s="13" customFormat="1" ht="14.45" customHeight="1" x14ac:dyDescent="0.2">
      <c r="A46" s="26" t="s">
        <v>71</v>
      </c>
      <c r="B46" s="48" t="s">
        <v>244</v>
      </c>
      <c r="C46" s="48"/>
      <c r="D46" s="26" t="s">
        <v>72</v>
      </c>
      <c r="E46" s="48" t="s">
        <v>244</v>
      </c>
      <c r="F46" s="48"/>
      <c r="G46" s="48"/>
      <c r="H46" s="48"/>
      <c r="I46" s="48"/>
      <c r="J46" s="48"/>
    </row>
    <row r="47" spans="1:10" s="13" customFormat="1" ht="14.45" customHeight="1" x14ac:dyDescent="0.2">
      <c r="A47" s="26" t="s">
        <v>73</v>
      </c>
      <c r="B47" s="48" t="s">
        <v>244</v>
      </c>
      <c r="C47" s="48"/>
      <c r="D47" s="44" t="s">
        <v>74</v>
      </c>
      <c r="E47" s="44"/>
      <c r="F47" s="44"/>
      <c r="G47" s="29" t="s">
        <v>224</v>
      </c>
      <c r="H47" s="15"/>
      <c r="I47" s="15"/>
      <c r="J47" s="15"/>
    </row>
    <row r="48" spans="1:10" s="13" customFormat="1" ht="14.45" customHeight="1" x14ac:dyDescent="0.2">
      <c r="A48" s="26" t="s">
        <v>75</v>
      </c>
      <c r="B48" s="48" t="s">
        <v>244</v>
      </c>
      <c r="C48" s="48"/>
      <c r="D48" s="44" t="s">
        <v>76</v>
      </c>
      <c r="E48" s="44"/>
      <c r="F48" s="44"/>
      <c r="G48" s="29" t="s">
        <v>225</v>
      </c>
      <c r="H48" s="15"/>
      <c r="I48" s="15"/>
      <c r="J48" s="15"/>
    </row>
    <row r="49" spans="1:10" s="13" customFormat="1" ht="14.45" customHeight="1" x14ac:dyDescent="0.2">
      <c r="A49" s="26" t="s">
        <v>77</v>
      </c>
      <c r="B49" s="48" t="s">
        <v>244</v>
      </c>
      <c r="C49" s="48"/>
      <c r="D49" s="44" t="s">
        <v>78</v>
      </c>
      <c r="E49" s="44"/>
      <c r="F49" s="44"/>
      <c r="G49" s="35" t="s">
        <v>0</v>
      </c>
      <c r="H49" s="15"/>
      <c r="I49" s="15"/>
      <c r="J49" s="15"/>
    </row>
    <row r="50" spans="1:10" s="13" customFormat="1" ht="14.45" customHeight="1" x14ac:dyDescent="0.2">
      <c r="A50" s="26" t="s">
        <v>67</v>
      </c>
      <c r="B50" s="48"/>
      <c r="C50" s="48"/>
      <c r="D50" s="48"/>
      <c r="E50" s="48"/>
      <c r="F50" s="48"/>
      <c r="G50" s="48"/>
      <c r="H50" s="48"/>
      <c r="I50" s="48"/>
      <c r="J50" s="48"/>
    </row>
    <row r="51" spans="1:10" s="13" customFormat="1" ht="14.45" customHeight="1" x14ac:dyDescent="0.2">
      <c r="A51" s="48"/>
      <c r="B51" s="48"/>
      <c r="C51" s="48"/>
      <c r="D51" s="48"/>
      <c r="E51" s="48"/>
      <c r="F51" s="48"/>
      <c r="G51" s="48"/>
      <c r="H51" s="48"/>
      <c r="I51" s="48"/>
      <c r="J51" s="48"/>
    </row>
    <row r="52" spans="1:10" s="13" customFormat="1" ht="14.45" customHeight="1" x14ac:dyDescent="0.2">
      <c r="A52" s="48"/>
      <c r="B52" s="48"/>
      <c r="C52" s="48"/>
      <c r="D52" s="48"/>
      <c r="E52" s="48"/>
      <c r="F52" s="48"/>
      <c r="G52" s="48"/>
      <c r="H52" s="48"/>
      <c r="I52" s="48"/>
      <c r="J52" s="48"/>
    </row>
    <row r="53" spans="1:10" x14ac:dyDescent="0.25">
      <c r="A53" s="4"/>
      <c r="B53" s="9"/>
      <c r="C53" s="9"/>
      <c r="D53" s="37"/>
      <c r="E53" s="9"/>
      <c r="F53" s="9"/>
      <c r="G53" s="9"/>
      <c r="H53" s="9"/>
      <c r="I53" s="9"/>
      <c r="J53" s="9"/>
    </row>
    <row r="54" spans="1:10" ht="21" x14ac:dyDescent="0.25">
      <c r="A54" s="47" t="s">
        <v>33</v>
      </c>
      <c r="B54" s="47"/>
      <c r="C54" s="47"/>
      <c r="D54" s="47"/>
      <c r="E54" s="47"/>
      <c r="F54" s="47"/>
      <c r="G54" s="47"/>
      <c r="H54" s="47"/>
      <c r="I54" s="47"/>
      <c r="J54" s="47"/>
    </row>
    <row r="55" spans="1:10" s="13" customFormat="1" ht="14.45" customHeight="1" x14ac:dyDescent="0.2">
      <c r="A55" s="26" t="s">
        <v>79</v>
      </c>
      <c r="B55" s="43" t="s">
        <v>243</v>
      </c>
      <c r="C55" s="43"/>
      <c r="D55" s="44" t="s">
        <v>80</v>
      </c>
      <c r="E55" s="44"/>
      <c r="F55" s="44"/>
      <c r="G55" s="35" t="s">
        <v>0</v>
      </c>
      <c r="H55" s="26" t="s">
        <v>81</v>
      </c>
      <c r="I55" s="35" t="s">
        <v>0</v>
      </c>
      <c r="J55" s="4"/>
    </row>
    <row r="56" spans="1:10" s="13" customFormat="1" ht="14.45" customHeight="1" x14ac:dyDescent="0.2">
      <c r="A56" s="26" t="s">
        <v>82</v>
      </c>
      <c r="B56" s="35" t="s">
        <v>0</v>
      </c>
      <c r="C56" s="14"/>
      <c r="D56" s="26" t="s">
        <v>83</v>
      </c>
      <c r="E56" s="43">
        <v>8.1999999999999993</v>
      </c>
      <c r="F56" s="43"/>
      <c r="G56" s="26" t="s">
        <v>84</v>
      </c>
      <c r="H56" s="35" t="s">
        <v>240</v>
      </c>
      <c r="I56" s="44"/>
      <c r="J56" s="44"/>
    </row>
    <row r="57" spans="1:10" s="13" customFormat="1" ht="14.45" customHeight="1" x14ac:dyDescent="0.2">
      <c r="A57" s="26" t="s">
        <v>67</v>
      </c>
      <c r="B57" s="48" t="s">
        <v>241</v>
      </c>
      <c r="C57" s="48"/>
      <c r="D57" s="48"/>
      <c r="E57" s="48"/>
      <c r="F57" s="48"/>
      <c r="G57" s="48"/>
      <c r="H57" s="48"/>
      <c r="I57" s="48"/>
      <c r="J57" s="48"/>
    </row>
    <row r="58" spans="1:10" s="13" customFormat="1" ht="14.45" customHeight="1" x14ac:dyDescent="0.2">
      <c r="A58" s="48"/>
      <c r="B58" s="48"/>
      <c r="C58" s="48"/>
      <c r="D58" s="48"/>
      <c r="E58" s="48"/>
      <c r="F58" s="48"/>
      <c r="G58" s="48"/>
      <c r="H58" s="48"/>
      <c r="I58" s="48"/>
      <c r="J58" s="48"/>
    </row>
    <row r="59" spans="1:10" s="13" customFormat="1" ht="14.45" customHeight="1" x14ac:dyDescent="0.2">
      <c r="A59" s="48"/>
      <c r="B59" s="48"/>
      <c r="C59" s="48"/>
      <c r="D59" s="48"/>
      <c r="E59" s="48"/>
      <c r="F59" s="48"/>
      <c r="G59" s="48"/>
      <c r="H59" s="48"/>
      <c r="I59" s="48"/>
      <c r="J59" s="48"/>
    </row>
    <row r="60" spans="1:10" s="13" customFormat="1" ht="14.45" customHeight="1" x14ac:dyDescent="0.2">
      <c r="A60" s="11"/>
      <c r="B60" s="5"/>
      <c r="C60" s="11"/>
      <c r="D60" s="12"/>
      <c r="E60" s="11"/>
      <c r="F60" s="11"/>
      <c r="G60" s="11"/>
      <c r="H60" s="11"/>
      <c r="I60" s="11"/>
      <c r="J60" s="11"/>
    </row>
    <row r="61" spans="1:10" ht="21" x14ac:dyDescent="0.25">
      <c r="A61" s="47" t="s">
        <v>34</v>
      </c>
      <c r="B61" s="47"/>
      <c r="C61" s="47"/>
      <c r="D61" s="47"/>
      <c r="E61" s="47"/>
      <c r="F61" s="47"/>
      <c r="G61" s="47"/>
      <c r="H61" s="47"/>
      <c r="I61" s="47"/>
      <c r="J61" s="47"/>
    </row>
    <row r="62" spans="1:10" s="13" customFormat="1" ht="15" customHeight="1" x14ac:dyDescent="0.2">
      <c r="A62" s="45" t="s">
        <v>85</v>
      </c>
      <c r="B62" s="45"/>
      <c r="C62" s="45"/>
      <c r="D62" s="45"/>
      <c r="E62" s="45"/>
      <c r="F62" s="45"/>
      <c r="G62" s="45"/>
      <c r="H62" s="45"/>
      <c r="I62" s="45"/>
      <c r="J62" s="45"/>
    </row>
    <row r="63" spans="1:10" s="13" customFormat="1" ht="14.45" customHeight="1" x14ac:dyDescent="0.2">
      <c r="A63" s="26" t="s">
        <v>86</v>
      </c>
      <c r="B63" s="35" t="s">
        <v>87</v>
      </c>
      <c r="C63" s="36"/>
      <c r="D63" s="21"/>
      <c r="E63" s="21"/>
      <c r="F63" s="21"/>
      <c r="G63" s="21"/>
      <c r="H63" s="21"/>
      <c r="I63" s="21"/>
      <c r="J63" s="21"/>
    </row>
    <row r="64" spans="1:10" s="13" customFormat="1" ht="14.45" customHeight="1" x14ac:dyDescent="0.2">
      <c r="A64" s="26" t="s">
        <v>88</v>
      </c>
      <c r="B64" s="35" t="s">
        <v>10</v>
      </c>
      <c r="C64" s="26" t="s">
        <v>89</v>
      </c>
      <c r="D64" s="35">
        <v>15</v>
      </c>
      <c r="E64" s="44" t="s">
        <v>90</v>
      </c>
      <c r="F64" s="44"/>
      <c r="G64" s="35">
        <v>206</v>
      </c>
      <c r="H64" s="26" t="s">
        <v>91</v>
      </c>
      <c r="I64" s="29" t="s">
        <v>226</v>
      </c>
      <c r="J64" s="21"/>
    </row>
    <row r="65" spans="1:10" s="13" customFormat="1" ht="14.45" customHeight="1" x14ac:dyDescent="0.2">
      <c r="A65" s="26" t="s">
        <v>228</v>
      </c>
      <c r="B65" s="35" t="s">
        <v>2</v>
      </c>
      <c r="C65" s="26" t="s">
        <v>89</v>
      </c>
      <c r="D65" s="35">
        <v>15</v>
      </c>
      <c r="E65" s="44" t="s">
        <v>90</v>
      </c>
      <c r="F65" s="44"/>
      <c r="G65" s="35">
        <v>9000</v>
      </c>
      <c r="H65" s="26" t="s">
        <v>91</v>
      </c>
      <c r="I65" s="29" t="s">
        <v>229</v>
      </c>
      <c r="J65" s="21"/>
    </row>
    <row r="66" spans="1:10" s="13" customFormat="1" ht="14.45" customHeight="1" x14ac:dyDescent="0.2">
      <c r="A66" s="26" t="s">
        <v>92</v>
      </c>
      <c r="B66" s="35" t="s">
        <v>2</v>
      </c>
      <c r="C66" s="26" t="s">
        <v>89</v>
      </c>
      <c r="D66" s="35">
        <v>15</v>
      </c>
      <c r="E66" s="44" t="s">
        <v>90</v>
      </c>
      <c r="F66" s="44"/>
      <c r="G66" s="35">
        <v>8983</v>
      </c>
      <c r="H66" s="26" t="s">
        <v>91</v>
      </c>
      <c r="I66" s="29" t="s">
        <v>227</v>
      </c>
      <c r="J66" s="21"/>
    </row>
    <row r="67" spans="1:10" s="13" customFormat="1" ht="14.45" customHeight="1" x14ac:dyDescent="0.2">
      <c r="A67" s="26" t="s">
        <v>93</v>
      </c>
      <c r="B67" s="35" t="s">
        <v>6</v>
      </c>
      <c r="C67" s="26" t="s">
        <v>89</v>
      </c>
      <c r="D67" s="35">
        <v>15</v>
      </c>
      <c r="E67" s="44" t="s">
        <v>90</v>
      </c>
      <c r="F67" s="44"/>
      <c r="G67" s="35">
        <v>10100</v>
      </c>
      <c r="H67" s="26" t="s">
        <v>91</v>
      </c>
      <c r="I67" s="29" t="s">
        <v>230</v>
      </c>
      <c r="J67" s="21"/>
    </row>
    <row r="68" spans="1:10" s="13" customFormat="1" ht="14.45" customHeight="1" x14ac:dyDescent="0.2">
      <c r="A68" s="26" t="s">
        <v>94</v>
      </c>
      <c r="B68" s="35" t="s">
        <v>3</v>
      </c>
      <c r="C68" s="26" t="s">
        <v>91</v>
      </c>
      <c r="D68" s="29" t="s">
        <v>231</v>
      </c>
      <c r="E68" s="11"/>
      <c r="F68" s="11"/>
      <c r="G68" s="11"/>
      <c r="H68" s="11"/>
      <c r="I68" s="11"/>
      <c r="J68" s="11"/>
    </row>
    <row r="69" spans="1:10" s="13" customFormat="1" ht="14.45" customHeight="1" x14ac:dyDescent="0.2">
      <c r="A69" s="26" t="s">
        <v>95</v>
      </c>
      <c r="B69" s="30" t="s">
        <v>12</v>
      </c>
      <c r="C69" s="26" t="s">
        <v>91</v>
      </c>
      <c r="D69" s="29" t="s">
        <v>232</v>
      </c>
      <c r="E69" s="11"/>
      <c r="F69" s="11"/>
      <c r="G69" s="11"/>
      <c r="H69" s="11"/>
      <c r="I69" s="11"/>
      <c r="J69" s="11"/>
    </row>
    <row r="70" spans="1:10" s="13" customFormat="1" ht="14.45" customHeight="1" x14ac:dyDescent="0.2">
      <c r="A70" s="26" t="s">
        <v>96</v>
      </c>
      <c r="B70" s="35" t="s">
        <v>15</v>
      </c>
      <c r="C70" s="26" t="s">
        <v>91</v>
      </c>
      <c r="D70" s="29" t="s">
        <v>233</v>
      </c>
      <c r="E70" s="11"/>
      <c r="F70" s="11"/>
      <c r="G70" s="11"/>
      <c r="H70" s="11"/>
      <c r="I70" s="11"/>
      <c r="J70" s="11"/>
    </row>
    <row r="71" spans="1:10" s="13" customFormat="1" ht="14.45" customHeight="1" x14ac:dyDescent="0.2">
      <c r="A71" s="26" t="s">
        <v>97</v>
      </c>
      <c r="B71" s="35" t="s">
        <v>9</v>
      </c>
      <c r="C71" s="26" t="s">
        <v>91</v>
      </c>
      <c r="D71" s="29" t="s">
        <v>234</v>
      </c>
      <c r="E71" s="11"/>
      <c r="F71" s="11"/>
      <c r="G71" s="28" t="s">
        <v>98</v>
      </c>
      <c r="H71" s="35">
        <v>1230</v>
      </c>
      <c r="I71" s="11"/>
      <c r="J71" s="11"/>
    </row>
    <row r="72" spans="1:10" s="13" customFormat="1" ht="14.45" customHeight="1" x14ac:dyDescent="0.2">
      <c r="A72" s="26" t="s">
        <v>99</v>
      </c>
      <c r="B72" s="35"/>
      <c r="C72" s="26" t="s">
        <v>91</v>
      </c>
      <c r="D72" s="29"/>
      <c r="E72" s="11"/>
      <c r="F72" s="11"/>
      <c r="G72" s="28" t="s">
        <v>100</v>
      </c>
      <c r="H72" s="35">
        <v>1242</v>
      </c>
      <c r="I72" s="11"/>
      <c r="J72" s="11"/>
    </row>
    <row r="73" spans="1:10" s="13" customFormat="1" ht="14.45" customHeight="1" x14ac:dyDescent="0.2">
      <c r="A73" s="26" t="s">
        <v>101</v>
      </c>
      <c r="B73" s="35"/>
      <c r="C73" s="26" t="s">
        <v>91</v>
      </c>
      <c r="D73" s="29"/>
      <c r="E73" s="11"/>
      <c r="F73" s="11"/>
      <c r="G73" s="28" t="s">
        <v>102</v>
      </c>
      <c r="H73" s="35">
        <v>1309</v>
      </c>
      <c r="I73" s="11"/>
      <c r="J73" s="11"/>
    </row>
    <row r="74" spans="1:10" s="13" customFormat="1" ht="14.45" customHeight="1" x14ac:dyDescent="0.2">
      <c r="A74" s="26" t="s">
        <v>103</v>
      </c>
      <c r="B74" s="29" t="s">
        <v>235</v>
      </c>
      <c r="C74" s="26" t="s">
        <v>104</v>
      </c>
      <c r="D74" s="29" t="s">
        <v>236</v>
      </c>
      <c r="E74" s="11"/>
      <c r="F74" s="11"/>
      <c r="G74" s="28" t="s">
        <v>105</v>
      </c>
      <c r="H74" s="35">
        <v>38</v>
      </c>
      <c r="I74" s="11"/>
      <c r="J74" s="11"/>
    </row>
    <row r="75" spans="1:10" s="13" customFormat="1" ht="14.45" customHeight="1" x14ac:dyDescent="0.2">
      <c r="A75" s="26" t="s">
        <v>106</v>
      </c>
      <c r="B75" s="29" t="s">
        <v>242</v>
      </c>
      <c r="C75" s="26" t="s">
        <v>107</v>
      </c>
      <c r="D75" s="29"/>
      <c r="E75" s="11"/>
      <c r="F75" s="11"/>
      <c r="G75" s="26" t="s">
        <v>108</v>
      </c>
      <c r="H75" s="29" t="s">
        <v>237</v>
      </c>
      <c r="I75" s="11"/>
      <c r="J75" s="11"/>
    </row>
    <row r="76" spans="1:10" s="13" customFormat="1" ht="15" customHeight="1" x14ac:dyDescent="0.2">
      <c r="A76" s="45" t="s">
        <v>109</v>
      </c>
      <c r="B76" s="45"/>
      <c r="C76" s="45"/>
      <c r="D76" s="45"/>
      <c r="E76" s="45"/>
      <c r="F76" s="45"/>
      <c r="G76" s="45"/>
      <c r="H76" s="45"/>
      <c r="I76" s="45"/>
      <c r="J76" s="45"/>
    </row>
    <row r="77" spans="1:10" s="13" customFormat="1" ht="14.45" customHeight="1" x14ac:dyDescent="0.2">
      <c r="A77" s="26" t="s">
        <v>110</v>
      </c>
      <c r="B77" s="35">
        <v>92</v>
      </c>
      <c r="C77" s="44" t="s">
        <v>111</v>
      </c>
      <c r="D77" s="44"/>
      <c r="E77" s="44"/>
      <c r="F77" s="43">
        <v>427</v>
      </c>
      <c r="G77" s="43"/>
      <c r="H77" s="11"/>
      <c r="I77" s="11"/>
      <c r="J77" s="11"/>
    </row>
    <row r="78" spans="1:10" s="13" customFormat="1" ht="14.45" customHeight="1" x14ac:dyDescent="0.2">
      <c r="A78" s="26" t="s">
        <v>112</v>
      </c>
      <c r="B78" s="35"/>
      <c r="C78" s="44" t="s">
        <v>113</v>
      </c>
      <c r="D78" s="44"/>
      <c r="E78" s="44"/>
      <c r="F78" s="43"/>
      <c r="G78" s="43"/>
      <c r="H78" s="11"/>
      <c r="I78" s="11"/>
      <c r="J78" s="11"/>
    </row>
    <row r="79" spans="1:10" s="13" customFormat="1" ht="14.45" customHeight="1" x14ac:dyDescent="0.2">
      <c r="A79" s="26" t="s">
        <v>114</v>
      </c>
      <c r="B79" s="35">
        <v>600</v>
      </c>
      <c r="C79" s="44" t="s">
        <v>115</v>
      </c>
      <c r="D79" s="44"/>
      <c r="E79" s="44"/>
      <c r="F79" s="43">
        <v>117</v>
      </c>
      <c r="G79" s="43"/>
      <c r="H79" s="11"/>
      <c r="I79" s="11"/>
      <c r="J79" s="11"/>
    </row>
    <row r="80" spans="1:10" s="13" customFormat="1" ht="14.45" customHeight="1" x14ac:dyDescent="0.2">
      <c r="A80" s="26" t="s">
        <v>116</v>
      </c>
      <c r="B80" s="35"/>
      <c r="C80" s="44"/>
      <c r="D80" s="44"/>
      <c r="E80" s="44"/>
      <c r="F80" s="46"/>
      <c r="G80" s="46"/>
      <c r="H80" s="11"/>
      <c r="I80" s="11"/>
      <c r="J80" s="11"/>
    </row>
    <row r="81" spans="1:10" s="13" customFormat="1" ht="14.45" customHeight="1" x14ac:dyDescent="0.2">
      <c r="A81" s="26" t="s">
        <v>117</v>
      </c>
      <c r="B81" s="35">
        <v>600</v>
      </c>
      <c r="C81" s="26" t="s">
        <v>118</v>
      </c>
      <c r="D81" s="35">
        <v>5</v>
      </c>
      <c r="E81" s="26" t="s">
        <v>119</v>
      </c>
      <c r="F81" s="46">
        <f>D81*16</f>
        <v>80</v>
      </c>
      <c r="G81" s="46"/>
      <c r="H81" s="11"/>
      <c r="I81" s="11"/>
      <c r="J81" s="11"/>
    </row>
    <row r="82" spans="1:10" s="13" customFormat="1" ht="14.45" customHeight="1" x14ac:dyDescent="0.2">
      <c r="A82" s="26" t="s">
        <v>120</v>
      </c>
      <c r="B82" s="35"/>
      <c r="C82" s="26" t="s">
        <v>121</v>
      </c>
      <c r="D82" s="35">
        <v>6</v>
      </c>
      <c r="E82" s="26" t="s">
        <v>119</v>
      </c>
      <c r="F82" s="46">
        <f>D82*16</f>
        <v>96</v>
      </c>
      <c r="G82" s="46"/>
      <c r="H82" s="11"/>
      <c r="I82" s="11"/>
      <c r="J82" s="11"/>
    </row>
    <row r="83" spans="1:10" s="13" customFormat="1" ht="14.45" customHeight="1" x14ac:dyDescent="0.2">
      <c r="A83" s="26" t="s">
        <v>67</v>
      </c>
      <c r="B83" s="48" t="s">
        <v>238</v>
      </c>
      <c r="C83" s="48"/>
      <c r="D83" s="48"/>
      <c r="E83" s="48"/>
      <c r="F83" s="48"/>
      <c r="G83" s="48"/>
      <c r="H83" s="48"/>
      <c r="I83" s="48"/>
      <c r="J83" s="48"/>
    </row>
    <row r="84" spans="1:10" s="13" customFormat="1" ht="14.45" customHeight="1" x14ac:dyDescent="0.2">
      <c r="A84" s="48"/>
      <c r="B84" s="48"/>
      <c r="C84" s="48"/>
      <c r="D84" s="48"/>
      <c r="E84" s="48"/>
      <c r="F84" s="48"/>
      <c r="G84" s="48"/>
      <c r="H84" s="48"/>
      <c r="I84" s="48"/>
      <c r="J84" s="48"/>
    </row>
    <row r="85" spans="1:10" s="13" customFormat="1" ht="14.45" customHeight="1" x14ac:dyDescent="0.2">
      <c r="A85" s="48"/>
      <c r="B85" s="48"/>
      <c r="C85" s="48"/>
      <c r="D85" s="48"/>
      <c r="E85" s="48"/>
      <c r="F85" s="48"/>
      <c r="G85" s="48"/>
      <c r="H85" s="48"/>
      <c r="I85" s="48"/>
      <c r="J85" s="48"/>
    </row>
    <row r="86" spans="1:10" s="13" customFormat="1" ht="14.45" customHeight="1" x14ac:dyDescent="0.2">
      <c r="A86" s="5"/>
      <c r="B86" s="11"/>
      <c r="C86" s="11"/>
      <c r="D86" s="12"/>
      <c r="E86" s="11"/>
      <c r="F86" s="11"/>
      <c r="G86" s="11"/>
      <c r="H86" s="11"/>
      <c r="I86" s="11"/>
      <c r="J86" s="11"/>
    </row>
    <row r="87" spans="1:10" ht="21" x14ac:dyDescent="0.25">
      <c r="A87" s="47" t="s">
        <v>35</v>
      </c>
      <c r="B87" s="47"/>
      <c r="C87" s="47"/>
      <c r="D87" s="47"/>
      <c r="E87" s="47"/>
      <c r="F87" s="47"/>
      <c r="G87" s="47"/>
      <c r="H87" s="47"/>
      <c r="I87" s="47"/>
      <c r="J87" s="47"/>
    </row>
    <row r="88" spans="1:10" s="13" customFormat="1" ht="14.45" customHeight="1" x14ac:dyDescent="0.2">
      <c r="A88" s="49" t="s">
        <v>122</v>
      </c>
      <c r="B88" s="49"/>
      <c r="C88" s="49"/>
      <c r="D88" s="49"/>
      <c r="E88" s="49"/>
      <c r="F88" s="49"/>
      <c r="G88" s="49"/>
      <c r="H88" s="49"/>
      <c r="I88" s="49"/>
      <c r="J88" s="49"/>
    </row>
    <row r="89" spans="1:10" s="13" customFormat="1" ht="14.45" customHeight="1" x14ac:dyDescent="0.2">
      <c r="A89" s="26" t="s">
        <v>123</v>
      </c>
      <c r="B89" s="35"/>
      <c r="C89" s="26" t="s">
        <v>89</v>
      </c>
      <c r="D89" s="35"/>
      <c r="E89" s="44" t="s">
        <v>90</v>
      </c>
      <c r="F89" s="44"/>
      <c r="G89" s="35"/>
      <c r="H89" s="26" t="s">
        <v>91</v>
      </c>
      <c r="I89" s="29"/>
      <c r="J89" s="21"/>
    </row>
    <row r="90" spans="1:10" s="13" customFormat="1" ht="14.45" customHeight="1" x14ac:dyDescent="0.2">
      <c r="A90" s="26" t="s">
        <v>124</v>
      </c>
      <c r="B90" s="35"/>
      <c r="C90" s="26" t="s">
        <v>89</v>
      </c>
      <c r="D90" s="35"/>
      <c r="E90" s="44" t="s">
        <v>90</v>
      </c>
      <c r="F90" s="44"/>
      <c r="G90" s="35"/>
      <c r="H90" s="26" t="s">
        <v>91</v>
      </c>
      <c r="I90" s="29"/>
      <c r="J90" s="21"/>
    </row>
    <row r="91" spans="1:10" s="13" customFormat="1" ht="14.45" customHeight="1" x14ac:dyDescent="0.2">
      <c r="A91" s="26" t="s">
        <v>125</v>
      </c>
      <c r="B91" s="35"/>
      <c r="C91" s="26" t="s">
        <v>89</v>
      </c>
      <c r="D91" s="35"/>
      <c r="E91" s="44" t="s">
        <v>90</v>
      </c>
      <c r="F91" s="44"/>
      <c r="G91" s="35"/>
      <c r="H91" s="26" t="s">
        <v>91</v>
      </c>
      <c r="I91" s="29"/>
      <c r="J91" s="21"/>
    </row>
    <row r="92" spans="1:10" s="13" customFormat="1" ht="14.45" customHeight="1" x14ac:dyDescent="0.2">
      <c r="A92" s="26" t="s">
        <v>126</v>
      </c>
      <c r="B92" s="35"/>
      <c r="C92" s="26" t="s">
        <v>89</v>
      </c>
      <c r="D92" s="35"/>
      <c r="E92" s="44" t="s">
        <v>90</v>
      </c>
      <c r="F92" s="44"/>
      <c r="G92" s="35"/>
      <c r="H92" s="26" t="s">
        <v>91</v>
      </c>
      <c r="I92" s="29"/>
      <c r="J92" s="21"/>
    </row>
    <row r="93" spans="1:10" s="13" customFormat="1" ht="14.45" customHeight="1" x14ac:dyDescent="0.2">
      <c r="A93" s="26" t="s">
        <v>127</v>
      </c>
      <c r="B93" s="35" t="s">
        <v>0</v>
      </c>
      <c r="C93" s="26"/>
      <c r="D93" s="26" t="s">
        <v>128</v>
      </c>
      <c r="E93" s="43" t="s">
        <v>0</v>
      </c>
      <c r="F93" s="43"/>
      <c r="G93" s="14" t="s">
        <v>129</v>
      </c>
      <c r="H93" s="26"/>
      <c r="I93" s="25"/>
      <c r="J93" s="21"/>
    </row>
    <row r="94" spans="1:10" s="13" customFormat="1" ht="14.45" customHeight="1" x14ac:dyDescent="0.2">
      <c r="A94" s="26" t="s">
        <v>67</v>
      </c>
      <c r="B94" s="48" t="s">
        <v>239</v>
      </c>
      <c r="C94" s="48"/>
      <c r="D94" s="48"/>
      <c r="E94" s="48"/>
      <c r="F94" s="48"/>
      <c r="G94" s="48"/>
      <c r="H94" s="48"/>
      <c r="I94" s="48"/>
      <c r="J94" s="48"/>
    </row>
    <row r="95" spans="1:10" s="13" customFormat="1" ht="14.45" customHeight="1" x14ac:dyDescent="0.2">
      <c r="A95" s="48"/>
      <c r="B95" s="48"/>
      <c r="C95" s="48"/>
      <c r="D95" s="48"/>
      <c r="E95" s="48"/>
      <c r="F95" s="48"/>
      <c r="G95" s="48"/>
      <c r="H95" s="48"/>
      <c r="I95" s="48"/>
      <c r="J95" s="48"/>
    </row>
    <row r="96" spans="1:10" s="13" customFormat="1" ht="14.45" customHeight="1" x14ac:dyDescent="0.2">
      <c r="A96" s="48"/>
      <c r="B96" s="48"/>
      <c r="C96" s="48"/>
      <c r="D96" s="48"/>
      <c r="E96" s="48"/>
      <c r="F96" s="48"/>
      <c r="G96" s="48"/>
      <c r="H96" s="48"/>
      <c r="I96" s="48"/>
      <c r="J96" s="48"/>
    </row>
    <row r="97" spans="1:10" s="13" customFormat="1" ht="14.45" customHeight="1" x14ac:dyDescent="0.2">
      <c r="A97" s="4"/>
      <c r="B97" s="11"/>
      <c r="C97" s="12"/>
      <c r="D97" s="11"/>
      <c r="E97" s="11"/>
      <c r="F97" s="11"/>
      <c r="G97" s="11"/>
      <c r="H97" s="11"/>
      <c r="I97" s="11"/>
      <c r="J97" s="11"/>
    </row>
    <row r="98" spans="1:10" ht="21" x14ac:dyDescent="0.25">
      <c r="A98" s="47" t="s">
        <v>36</v>
      </c>
      <c r="B98" s="47"/>
      <c r="C98" s="47"/>
      <c r="D98" s="47"/>
      <c r="E98" s="47"/>
      <c r="F98" s="47"/>
      <c r="G98" s="47"/>
      <c r="H98" s="47"/>
      <c r="I98" s="47"/>
      <c r="J98" s="47"/>
    </row>
    <row r="99" spans="1:10" s="13" customFormat="1" ht="14.45" customHeight="1" x14ac:dyDescent="0.2">
      <c r="A99" s="49" t="s">
        <v>130</v>
      </c>
      <c r="B99" s="49"/>
      <c r="C99" s="49"/>
      <c r="D99" s="49"/>
      <c r="E99" s="49"/>
      <c r="F99" s="49"/>
      <c r="G99" s="49"/>
      <c r="H99" s="49"/>
      <c r="I99" s="49"/>
      <c r="J99" s="49"/>
    </row>
    <row r="100" spans="1:10" s="13" customFormat="1" ht="14.45" customHeight="1" x14ac:dyDescent="0.2">
      <c r="A100" s="26" t="s">
        <v>95</v>
      </c>
      <c r="B100" s="36" t="s">
        <v>12</v>
      </c>
      <c r="C100" s="26" t="s">
        <v>131</v>
      </c>
      <c r="D100" s="35" t="s">
        <v>0</v>
      </c>
      <c r="E100" s="44" t="s">
        <v>91</v>
      </c>
      <c r="F100" s="44"/>
      <c r="G100" s="24" t="str">
        <f>D69</f>
        <v>9359</v>
      </c>
      <c r="H100" s="14" t="s">
        <v>132</v>
      </c>
      <c r="I100" s="23"/>
      <c r="J100" s="23"/>
    </row>
    <row r="101" spans="1:10" s="13" customFormat="1" ht="14.45" customHeight="1" x14ac:dyDescent="0.2">
      <c r="A101" s="26" t="s">
        <v>96</v>
      </c>
      <c r="B101" s="36" t="str">
        <f>B70</f>
        <v>PAR</v>
      </c>
      <c r="C101" s="26" t="s">
        <v>131</v>
      </c>
      <c r="D101" s="35" t="s">
        <v>4</v>
      </c>
      <c r="E101" s="44" t="s">
        <v>91</v>
      </c>
      <c r="F101" s="44"/>
      <c r="G101" s="24" t="str">
        <f>D70</f>
        <v>50246</v>
      </c>
      <c r="H101" s="14" t="s">
        <v>132</v>
      </c>
      <c r="I101" s="15"/>
      <c r="J101" s="15"/>
    </row>
    <row r="102" spans="1:10" s="13" customFormat="1" ht="14.45" customHeight="1" x14ac:dyDescent="0.2">
      <c r="A102" s="26" t="s">
        <v>97</v>
      </c>
      <c r="B102" s="36" t="str">
        <f>B71</f>
        <v>WETLABS</v>
      </c>
      <c r="C102" s="26" t="s">
        <v>131</v>
      </c>
      <c r="D102" s="35" t="s">
        <v>4</v>
      </c>
      <c r="E102" s="44" t="s">
        <v>91</v>
      </c>
      <c r="F102" s="44"/>
      <c r="G102" s="24" t="str">
        <f>D71</f>
        <v>4504</v>
      </c>
      <c r="H102" s="14" t="s">
        <v>132</v>
      </c>
      <c r="I102" s="15"/>
      <c r="J102" s="15"/>
    </row>
    <row r="103" spans="1:10" s="13" customFormat="1" ht="14.45" customHeight="1" x14ac:dyDescent="0.2">
      <c r="A103" s="26" t="s">
        <v>99</v>
      </c>
      <c r="B103" s="36">
        <f>B72</f>
        <v>0</v>
      </c>
      <c r="C103" s="26" t="s">
        <v>131</v>
      </c>
      <c r="D103" s="35"/>
      <c r="E103" s="44" t="s">
        <v>91</v>
      </c>
      <c r="F103" s="44"/>
      <c r="G103" s="24">
        <f>D72</f>
        <v>0</v>
      </c>
      <c r="H103" s="14" t="s">
        <v>132</v>
      </c>
      <c r="I103" s="15"/>
      <c r="J103" s="15"/>
    </row>
    <row r="104" spans="1:10" s="13" customFormat="1" ht="14.45" customHeight="1" x14ac:dyDescent="0.2">
      <c r="A104" s="26" t="s">
        <v>101</v>
      </c>
      <c r="B104" s="36">
        <f>B73</f>
        <v>0</v>
      </c>
      <c r="C104" s="26" t="s">
        <v>131</v>
      </c>
      <c r="D104" s="35"/>
      <c r="E104" s="44" t="s">
        <v>91</v>
      </c>
      <c r="F104" s="44"/>
      <c r="G104" s="24">
        <f>D73</f>
        <v>0</v>
      </c>
      <c r="H104" s="14" t="s">
        <v>132</v>
      </c>
      <c r="I104" s="15"/>
      <c r="J104" s="15"/>
    </row>
    <row r="105" spans="1:10" s="13" customFormat="1" ht="14.45" customHeight="1" x14ac:dyDescent="0.2">
      <c r="A105" s="26" t="s">
        <v>67</v>
      </c>
      <c r="B105" s="48"/>
      <c r="C105" s="48"/>
      <c r="D105" s="48"/>
      <c r="E105" s="48"/>
      <c r="F105" s="48"/>
      <c r="G105" s="48"/>
      <c r="H105" s="48"/>
      <c r="I105" s="48"/>
      <c r="J105" s="48"/>
    </row>
    <row r="106" spans="1:10" s="13" customFormat="1" ht="14.45" customHeight="1" x14ac:dyDescent="0.2">
      <c r="A106" s="48"/>
      <c r="B106" s="48"/>
      <c r="C106" s="48"/>
      <c r="D106" s="48"/>
      <c r="E106" s="48"/>
      <c r="F106" s="48"/>
      <c r="G106" s="48"/>
      <c r="H106" s="48"/>
      <c r="I106" s="48"/>
      <c r="J106" s="48"/>
    </row>
    <row r="107" spans="1:10" s="13" customFormat="1" ht="14.45" customHeight="1" x14ac:dyDescent="0.2">
      <c r="A107" s="48"/>
      <c r="B107" s="48"/>
      <c r="C107" s="48"/>
      <c r="D107" s="48"/>
      <c r="E107" s="48"/>
      <c r="F107" s="48"/>
      <c r="G107" s="48"/>
      <c r="H107" s="48"/>
      <c r="I107" s="48"/>
      <c r="J107" s="48"/>
    </row>
    <row r="108" spans="1:10" s="13" customFormat="1" ht="14.45" customHeight="1" x14ac:dyDescent="0.2">
      <c r="A108" s="11"/>
      <c r="B108" s="4"/>
      <c r="C108" s="11"/>
      <c r="D108" s="12"/>
      <c r="E108" s="11"/>
      <c r="F108" s="11"/>
      <c r="G108" s="11"/>
      <c r="H108" s="11"/>
      <c r="I108" s="11"/>
      <c r="J108" s="11"/>
    </row>
    <row r="109" spans="1:10" ht="21" x14ac:dyDescent="0.25">
      <c r="A109" s="47" t="s">
        <v>37</v>
      </c>
      <c r="B109" s="47"/>
      <c r="C109" s="47"/>
      <c r="D109" s="47"/>
      <c r="E109" s="47"/>
      <c r="F109" s="47"/>
      <c r="G109" s="47"/>
      <c r="H109" s="47"/>
      <c r="I109" s="47"/>
      <c r="J109" s="47"/>
    </row>
    <row r="110" spans="1:10" s="13" customFormat="1" ht="15" customHeight="1" x14ac:dyDescent="0.2">
      <c r="A110" s="45" t="s">
        <v>133</v>
      </c>
      <c r="B110" s="45"/>
      <c r="C110" s="45"/>
      <c r="D110" s="45"/>
      <c r="E110" s="45"/>
      <c r="F110" s="45"/>
      <c r="G110" s="45"/>
      <c r="H110" s="45"/>
      <c r="I110" s="45"/>
      <c r="J110" s="45"/>
    </row>
    <row r="111" spans="1:10" s="13" customFormat="1" ht="14.45" customHeight="1" x14ac:dyDescent="0.2">
      <c r="A111" s="26" t="s">
        <v>86</v>
      </c>
      <c r="B111" s="35"/>
      <c r="C111" s="36"/>
      <c r="D111" s="21"/>
      <c r="E111" s="21"/>
      <c r="F111" s="21"/>
      <c r="G111" s="21"/>
      <c r="H111" s="21"/>
      <c r="I111" s="21"/>
      <c r="J111" s="21"/>
    </row>
    <row r="112" spans="1:10" s="13" customFormat="1" ht="14.45" customHeight="1" x14ac:dyDescent="0.2">
      <c r="A112" s="26" t="s">
        <v>134</v>
      </c>
      <c r="B112" s="35"/>
      <c r="C112" s="26" t="s">
        <v>135</v>
      </c>
      <c r="D112" s="35" t="s">
        <v>0</v>
      </c>
      <c r="E112" s="21"/>
      <c r="F112" s="44" t="str">
        <f>IF(B113="1000M", "f_de_oil_pot_voltage_max", "f_ballast_pumped_cal_m")</f>
        <v>f_de_oil_pot_voltage_max</v>
      </c>
      <c r="G112" s="44"/>
      <c r="H112" s="29"/>
      <c r="I112" s="21"/>
      <c r="J112" s="21"/>
    </row>
    <row r="113" spans="1:10" s="13" customFormat="1" ht="14.45" customHeight="1" x14ac:dyDescent="0.2">
      <c r="A113" s="26" t="s">
        <v>94</v>
      </c>
      <c r="B113" s="35" t="s">
        <v>3</v>
      </c>
      <c r="C113" s="26" t="s">
        <v>91</v>
      </c>
      <c r="D113" s="29" t="s">
        <v>231</v>
      </c>
      <c r="E113" s="11"/>
      <c r="F113" s="44" t="str">
        <f>IF(B113="1000M", "f_de_oil_pot_voltage_min", "f_ballast_pumped_cal_b")</f>
        <v>f_de_oil_pot_voltage_min</v>
      </c>
      <c r="G113" s="44"/>
      <c r="H113" s="29"/>
      <c r="I113" s="11"/>
      <c r="J113" s="11"/>
    </row>
    <row r="114" spans="1:10" s="13" customFormat="1" ht="14.45" customHeight="1" x14ac:dyDescent="0.2">
      <c r="A114" s="26" t="s">
        <v>95</v>
      </c>
      <c r="B114" s="30" t="s">
        <v>12</v>
      </c>
      <c r="C114" s="26" t="s">
        <v>91</v>
      </c>
      <c r="D114" s="29" t="s">
        <v>232</v>
      </c>
      <c r="E114" s="11"/>
      <c r="F114" s="11"/>
      <c r="G114" s="11"/>
      <c r="H114" s="11"/>
      <c r="I114" s="11"/>
      <c r="J114" s="11"/>
    </row>
    <row r="115" spans="1:10" s="13" customFormat="1" ht="14.45" customHeight="1" x14ac:dyDescent="0.2">
      <c r="A115" s="26" t="s">
        <v>96</v>
      </c>
      <c r="B115" s="35" t="s">
        <v>15</v>
      </c>
      <c r="C115" s="26" t="s">
        <v>91</v>
      </c>
      <c r="D115" s="29" t="s">
        <v>233</v>
      </c>
      <c r="E115" s="11"/>
      <c r="F115" s="11"/>
      <c r="G115" s="26" t="s">
        <v>98</v>
      </c>
      <c r="H115" s="41">
        <v>1230</v>
      </c>
      <c r="I115" s="11"/>
      <c r="J115" s="11"/>
    </row>
    <row r="116" spans="1:10" s="13" customFormat="1" ht="14.45" customHeight="1" x14ac:dyDescent="0.2">
      <c r="A116" s="26" t="s">
        <v>97</v>
      </c>
      <c r="B116" s="35" t="s">
        <v>9</v>
      </c>
      <c r="C116" s="26" t="s">
        <v>91</v>
      </c>
      <c r="D116" s="29" t="s">
        <v>234</v>
      </c>
      <c r="E116" s="11"/>
      <c r="F116" s="11"/>
      <c r="G116" s="26" t="s">
        <v>100</v>
      </c>
      <c r="H116" s="41">
        <v>1242</v>
      </c>
      <c r="I116" s="11"/>
      <c r="J116" s="11"/>
    </row>
    <row r="117" spans="1:10" s="13" customFormat="1" ht="14.45" customHeight="1" x14ac:dyDescent="0.2">
      <c r="A117" s="26" t="s">
        <v>99</v>
      </c>
      <c r="B117" s="35"/>
      <c r="C117" s="26" t="s">
        <v>91</v>
      </c>
      <c r="D117" s="29"/>
      <c r="E117" s="11"/>
      <c r="F117" s="11"/>
      <c r="G117" s="26" t="s">
        <v>136</v>
      </c>
      <c r="H117" s="35" t="s">
        <v>0</v>
      </c>
      <c r="I117" s="11"/>
      <c r="J117" s="11"/>
    </row>
    <row r="118" spans="1:10" s="13" customFormat="1" ht="14.45" customHeight="1" x14ac:dyDescent="0.2">
      <c r="A118" s="26" t="s">
        <v>101</v>
      </c>
      <c r="B118" s="35"/>
      <c r="C118" s="26" t="s">
        <v>91</v>
      </c>
      <c r="D118" s="29"/>
      <c r="E118" s="11"/>
      <c r="F118" s="11"/>
      <c r="G118" s="26" t="s">
        <v>102</v>
      </c>
      <c r="H118" s="41">
        <v>1309</v>
      </c>
      <c r="I118" s="11"/>
      <c r="J118" s="11"/>
    </row>
    <row r="119" spans="1:10" s="13" customFormat="1" ht="14.45" customHeight="1" x14ac:dyDescent="0.2">
      <c r="A119" s="26" t="s">
        <v>103</v>
      </c>
      <c r="B119" s="29" t="s">
        <v>235</v>
      </c>
      <c r="C119" s="26" t="s">
        <v>104</v>
      </c>
      <c r="D119" s="29" t="s">
        <v>236</v>
      </c>
      <c r="E119" s="11"/>
      <c r="F119" s="11"/>
      <c r="G119" s="26" t="s">
        <v>105</v>
      </c>
      <c r="H119" s="41">
        <v>38</v>
      </c>
      <c r="I119" s="11"/>
      <c r="J119" s="11"/>
    </row>
    <row r="120" spans="1:10" s="13" customFormat="1" ht="14.45" customHeight="1" x14ac:dyDescent="0.2">
      <c r="A120" s="26" t="s">
        <v>106</v>
      </c>
      <c r="B120" s="29" t="s">
        <v>242</v>
      </c>
      <c r="C120" s="26" t="s">
        <v>107</v>
      </c>
      <c r="D120" s="29"/>
      <c r="E120" s="11"/>
      <c r="F120" s="11"/>
      <c r="G120" s="26" t="s">
        <v>108</v>
      </c>
      <c r="H120" s="29" t="s">
        <v>237</v>
      </c>
      <c r="I120" s="11"/>
      <c r="J120" s="11"/>
    </row>
    <row r="121" spans="1:10" s="13" customFormat="1" ht="15" customHeight="1" x14ac:dyDescent="0.2">
      <c r="A121" s="45" t="s">
        <v>137</v>
      </c>
      <c r="B121" s="45"/>
      <c r="C121" s="45"/>
      <c r="D121" s="45"/>
      <c r="E121" s="45"/>
      <c r="F121" s="45"/>
      <c r="G121" s="45"/>
      <c r="H121" s="45"/>
      <c r="I121" s="45"/>
      <c r="J121" s="45"/>
    </row>
    <row r="122" spans="1:10" s="13" customFormat="1" ht="14.45" customHeight="1" x14ac:dyDescent="0.2">
      <c r="A122" s="26" t="s">
        <v>110</v>
      </c>
      <c r="B122" s="35">
        <v>97</v>
      </c>
      <c r="C122" s="44" t="s">
        <v>111</v>
      </c>
      <c r="D122" s="44"/>
      <c r="E122" s="44"/>
      <c r="F122" s="43">
        <v>432</v>
      </c>
      <c r="G122" s="43"/>
      <c r="H122" s="11"/>
      <c r="I122" s="11"/>
      <c r="J122" s="11"/>
    </row>
    <row r="123" spans="1:10" s="13" customFormat="1" ht="14.45" customHeight="1" x14ac:dyDescent="0.2">
      <c r="A123" s="26" t="s">
        <v>112</v>
      </c>
      <c r="B123" s="35"/>
      <c r="C123" s="44" t="s">
        <v>113</v>
      </c>
      <c r="D123" s="44"/>
      <c r="E123" s="44"/>
      <c r="F123" s="43"/>
      <c r="G123" s="43"/>
      <c r="H123" s="11"/>
      <c r="I123" s="11"/>
      <c r="J123" s="11"/>
    </row>
    <row r="124" spans="1:10" s="13" customFormat="1" ht="14.45" customHeight="1" x14ac:dyDescent="0.2">
      <c r="A124" s="26" t="s">
        <v>114</v>
      </c>
      <c r="B124" s="35">
        <v>600</v>
      </c>
      <c r="C124" s="44" t="s">
        <v>115</v>
      </c>
      <c r="D124" s="44"/>
      <c r="E124" s="44"/>
      <c r="F124" s="43">
        <v>122</v>
      </c>
      <c r="G124" s="43"/>
      <c r="H124" s="11"/>
      <c r="I124" s="11"/>
      <c r="J124" s="11"/>
    </row>
    <row r="125" spans="1:10" s="13" customFormat="1" ht="14.45" customHeight="1" x14ac:dyDescent="0.2">
      <c r="A125" s="26" t="s">
        <v>116</v>
      </c>
      <c r="B125" s="35">
        <v>400</v>
      </c>
      <c r="C125" s="44"/>
      <c r="D125" s="44"/>
      <c r="E125" s="44"/>
      <c r="F125" s="46"/>
      <c r="G125" s="46"/>
      <c r="H125" s="11"/>
      <c r="I125" s="11"/>
      <c r="J125" s="11"/>
    </row>
    <row r="126" spans="1:10" s="13" customFormat="1" ht="14.45" customHeight="1" x14ac:dyDescent="0.2">
      <c r="A126" s="26" t="s">
        <v>117</v>
      </c>
      <c r="B126" s="35">
        <v>600</v>
      </c>
      <c r="C126" s="26" t="s">
        <v>118</v>
      </c>
      <c r="D126" s="31">
        <v>5</v>
      </c>
      <c r="E126" s="26" t="s">
        <v>119</v>
      </c>
      <c r="F126" s="46">
        <f>D126*16</f>
        <v>80</v>
      </c>
      <c r="G126" s="46"/>
      <c r="H126" s="11"/>
      <c r="I126" s="11"/>
      <c r="J126" s="11"/>
    </row>
    <row r="127" spans="1:10" s="13" customFormat="1" ht="14.45" customHeight="1" x14ac:dyDescent="0.2">
      <c r="A127" s="26" t="s">
        <v>120</v>
      </c>
      <c r="B127" s="35"/>
      <c r="C127" s="26" t="s">
        <v>121</v>
      </c>
      <c r="D127" s="31">
        <v>6</v>
      </c>
      <c r="E127" s="26" t="s">
        <v>119</v>
      </c>
      <c r="F127" s="46">
        <f>D127*16</f>
        <v>96</v>
      </c>
      <c r="G127" s="46"/>
      <c r="H127" s="11"/>
      <c r="I127" s="11"/>
      <c r="J127" s="11"/>
    </row>
    <row r="128" spans="1:10" s="13" customFormat="1" ht="14.45" customHeight="1" x14ac:dyDescent="0.2">
      <c r="A128" s="26" t="s">
        <v>67</v>
      </c>
      <c r="B128" s="48" t="s">
        <v>238</v>
      </c>
      <c r="C128" s="48"/>
      <c r="D128" s="48"/>
      <c r="E128" s="48"/>
      <c r="F128" s="48"/>
      <c r="G128" s="48"/>
      <c r="H128" s="48"/>
      <c r="I128" s="48"/>
      <c r="J128" s="48"/>
    </row>
    <row r="129" spans="1:10" s="13" customFormat="1" ht="14.45" customHeight="1" x14ac:dyDescent="0.2">
      <c r="A129" s="48"/>
      <c r="B129" s="48"/>
      <c r="C129" s="48"/>
      <c r="D129" s="48"/>
      <c r="E129" s="48"/>
      <c r="F129" s="48"/>
      <c r="G129" s="48"/>
      <c r="H129" s="48"/>
      <c r="I129" s="48"/>
      <c r="J129" s="48"/>
    </row>
    <row r="130" spans="1:10" s="13" customFormat="1" ht="14.45" customHeight="1" x14ac:dyDescent="0.2">
      <c r="A130" s="48"/>
      <c r="B130" s="48"/>
      <c r="C130" s="48"/>
      <c r="D130" s="48"/>
      <c r="E130" s="48"/>
      <c r="F130" s="48"/>
      <c r="G130" s="48"/>
      <c r="H130" s="48"/>
      <c r="I130" s="48"/>
      <c r="J130" s="48"/>
    </row>
    <row r="131" spans="1:10" s="13" customFormat="1" ht="14.45" customHeight="1" x14ac:dyDescent="0.2">
      <c r="A131" s="5"/>
      <c r="B131" s="11"/>
      <c r="C131" s="11"/>
      <c r="D131" s="12"/>
      <c r="E131" s="11"/>
      <c r="F131" s="11"/>
      <c r="G131" s="11"/>
      <c r="H131" s="11"/>
      <c r="I131" s="11"/>
      <c r="J131" s="11"/>
    </row>
    <row r="132" spans="1:10" ht="21" x14ac:dyDescent="0.25">
      <c r="A132" s="47" t="s">
        <v>38</v>
      </c>
      <c r="B132" s="47"/>
      <c r="C132" s="47"/>
      <c r="D132" s="47"/>
      <c r="E132" s="47"/>
      <c r="F132" s="47"/>
      <c r="G132" s="47"/>
      <c r="H132" s="47"/>
      <c r="I132" s="47"/>
      <c r="J132" s="47"/>
    </row>
    <row r="133" spans="1:10" ht="14.45" customHeight="1" x14ac:dyDescent="0.25">
      <c r="A133" s="49" t="s">
        <v>138</v>
      </c>
      <c r="B133" s="49"/>
      <c r="C133" s="49"/>
      <c r="D133" s="49"/>
      <c r="E133" s="49"/>
      <c r="F133" s="49"/>
      <c r="G133" s="49"/>
      <c r="H133" s="49"/>
      <c r="I133" s="49"/>
      <c r="J133" s="49"/>
    </row>
    <row r="134" spans="1:10" ht="14.45" customHeight="1" x14ac:dyDescent="0.25">
      <c r="A134" s="26" t="s">
        <v>139</v>
      </c>
      <c r="B134" s="35" t="s">
        <v>0</v>
      </c>
      <c r="C134" s="14"/>
      <c r="D134" s="26" t="s">
        <v>140</v>
      </c>
      <c r="E134" s="43">
        <v>1200</v>
      </c>
      <c r="F134" s="43"/>
      <c r="G134" s="11"/>
      <c r="H134" s="26" t="s">
        <v>141</v>
      </c>
      <c r="I134" s="35" t="s">
        <v>4</v>
      </c>
      <c r="J134" s="11"/>
    </row>
    <row r="135" spans="1:10" s="13" customFormat="1" ht="14.45" customHeight="1" x14ac:dyDescent="0.2">
      <c r="A135" s="26" t="s">
        <v>142</v>
      </c>
      <c r="B135" s="35"/>
      <c r="C135" s="14"/>
      <c r="D135" s="26" t="s">
        <v>143</v>
      </c>
      <c r="E135" s="43">
        <v>1050</v>
      </c>
      <c r="F135" s="43"/>
      <c r="G135" s="11"/>
      <c r="H135" s="26" t="s">
        <v>144</v>
      </c>
      <c r="I135" s="35" t="s">
        <v>4</v>
      </c>
      <c r="J135" s="11"/>
    </row>
    <row r="136" spans="1:10" s="13" customFormat="1" ht="14.45" customHeight="1" x14ac:dyDescent="0.2">
      <c r="A136" s="26" t="s">
        <v>145</v>
      </c>
      <c r="B136" s="35">
        <v>738</v>
      </c>
      <c r="C136" s="22" t="s">
        <v>146</v>
      </c>
      <c r="D136" s="11"/>
      <c r="E136" s="11"/>
      <c r="F136" s="11"/>
      <c r="G136" s="11"/>
      <c r="H136" s="11"/>
      <c r="I136" s="11"/>
      <c r="J136" s="11"/>
    </row>
    <row r="137" spans="1:10" s="13" customFormat="1" ht="14.45" customHeight="1" x14ac:dyDescent="0.2">
      <c r="A137" s="26" t="s">
        <v>147</v>
      </c>
      <c r="B137" s="35" t="s">
        <v>4</v>
      </c>
      <c r="C137" s="22"/>
      <c r="D137" s="26" t="s">
        <v>148</v>
      </c>
      <c r="E137" s="43" t="s">
        <v>0</v>
      </c>
      <c r="F137" s="43"/>
      <c r="G137" s="11"/>
      <c r="H137" s="26" t="s">
        <v>149</v>
      </c>
      <c r="I137" s="35" t="s">
        <v>0</v>
      </c>
      <c r="J137" s="11"/>
    </row>
    <row r="138" spans="1:10" ht="14.45" customHeight="1" x14ac:dyDescent="0.25">
      <c r="A138" s="49" t="s">
        <v>150</v>
      </c>
      <c r="B138" s="49"/>
      <c r="C138" s="49"/>
      <c r="D138" s="49"/>
      <c r="E138" s="49"/>
      <c r="F138" s="49"/>
      <c r="G138" s="49"/>
      <c r="H138" s="49"/>
      <c r="I138" s="49"/>
      <c r="J138" s="49"/>
    </row>
    <row r="139" spans="1:10" s="13" customFormat="1" ht="14.45" customHeight="1" x14ac:dyDescent="0.2">
      <c r="A139" s="26" t="s">
        <v>151</v>
      </c>
      <c r="B139" s="38" t="s">
        <v>4</v>
      </c>
      <c r="C139" s="14"/>
      <c r="D139" s="26" t="s">
        <v>152</v>
      </c>
      <c r="E139" s="52">
        <v>3.79</v>
      </c>
      <c r="F139" s="52"/>
      <c r="G139" s="11"/>
      <c r="H139" s="26" t="s">
        <v>153</v>
      </c>
      <c r="I139" s="38">
        <v>895</v>
      </c>
      <c r="J139" s="11"/>
    </row>
    <row r="140" spans="1:10" s="13" customFormat="1" ht="14.45" customHeight="1" x14ac:dyDescent="0.2">
      <c r="A140" s="26" t="s">
        <v>67</v>
      </c>
      <c r="B140" s="58"/>
      <c r="C140" s="48"/>
      <c r="D140" s="48"/>
      <c r="E140" s="48"/>
      <c r="F140" s="48"/>
      <c r="G140" s="48"/>
      <c r="H140" s="48"/>
      <c r="I140" s="48"/>
      <c r="J140" s="48"/>
    </row>
    <row r="141" spans="1:10" s="13" customFormat="1" ht="14.45" customHeight="1" x14ac:dyDescent="0.2">
      <c r="A141" s="48"/>
      <c r="B141" s="48"/>
      <c r="C141" s="48"/>
      <c r="D141" s="48"/>
      <c r="E141" s="48"/>
      <c r="F141" s="48"/>
      <c r="G141" s="48"/>
      <c r="H141" s="48"/>
      <c r="I141" s="48"/>
      <c r="J141" s="48"/>
    </row>
    <row r="142" spans="1:10" s="13" customFormat="1" ht="14.45" customHeight="1" x14ac:dyDescent="0.2">
      <c r="A142" s="48"/>
      <c r="B142" s="48"/>
      <c r="C142" s="48"/>
      <c r="D142" s="48"/>
      <c r="E142" s="48"/>
      <c r="F142" s="48"/>
      <c r="G142" s="48"/>
      <c r="H142" s="48"/>
      <c r="I142" s="48"/>
      <c r="J142" s="48"/>
    </row>
    <row r="143" spans="1:10" s="13" customFormat="1" ht="14.45" customHeight="1" x14ac:dyDescent="0.2">
      <c r="A143" s="11"/>
      <c r="B143" s="4"/>
      <c r="C143" s="11"/>
      <c r="D143" s="12"/>
      <c r="E143" s="11"/>
      <c r="F143" s="11"/>
      <c r="G143" s="11"/>
      <c r="H143" s="11"/>
      <c r="I143" s="11"/>
      <c r="J143" s="11"/>
    </row>
    <row r="144" spans="1:10" ht="21" x14ac:dyDescent="0.25">
      <c r="A144" s="47" t="s">
        <v>39</v>
      </c>
      <c r="B144" s="47"/>
      <c r="C144" s="47"/>
      <c r="D144" s="47"/>
      <c r="E144" s="47"/>
      <c r="F144" s="47"/>
      <c r="G144" s="47"/>
      <c r="H144" s="47"/>
      <c r="I144" s="47"/>
      <c r="J144" s="47"/>
    </row>
    <row r="145" spans="1:10" s="13" customFormat="1" ht="14.45" customHeight="1" x14ac:dyDescent="0.2">
      <c r="A145" s="49" t="s">
        <v>154</v>
      </c>
      <c r="B145" s="49"/>
      <c r="C145" s="49"/>
      <c r="D145" s="49"/>
      <c r="E145" s="49"/>
      <c r="F145" s="49"/>
      <c r="G145" s="49"/>
      <c r="H145" s="49"/>
      <c r="I145" s="49"/>
      <c r="J145" s="49"/>
    </row>
    <row r="146" spans="1:10" s="13" customFormat="1" ht="14.45" customHeight="1" x14ac:dyDescent="0.2">
      <c r="A146" s="26" t="s">
        <v>155</v>
      </c>
      <c r="B146" s="35" t="s">
        <v>0</v>
      </c>
      <c r="C146" s="21"/>
      <c r="D146" s="5"/>
      <c r="E146" s="5"/>
      <c r="F146" s="44" t="s">
        <v>156</v>
      </c>
      <c r="G146" s="44"/>
      <c r="H146" s="35" t="s">
        <v>0</v>
      </c>
      <c r="I146" s="21"/>
      <c r="J146" s="21"/>
    </row>
    <row r="147" spans="1:10" s="13" customFormat="1" ht="14.45" customHeight="1" x14ac:dyDescent="0.2">
      <c r="A147" s="26" t="s">
        <v>157</v>
      </c>
      <c r="B147" s="35" t="s">
        <v>0</v>
      </c>
      <c r="C147" s="21"/>
      <c r="D147" s="4"/>
      <c r="E147" s="4"/>
      <c r="F147" s="44" t="s">
        <v>158</v>
      </c>
      <c r="G147" s="44"/>
      <c r="H147" s="35" t="s">
        <v>0</v>
      </c>
      <c r="I147" s="21"/>
      <c r="J147" s="21"/>
    </row>
    <row r="148" spans="1:10" s="13" customFormat="1" ht="14.45" customHeight="1" x14ac:dyDescent="0.2">
      <c r="A148" s="26" t="s">
        <v>159</v>
      </c>
      <c r="B148" s="35">
        <v>7.95</v>
      </c>
      <c r="C148" s="14" t="s">
        <v>160</v>
      </c>
      <c r="D148" s="4"/>
      <c r="E148" s="4"/>
      <c r="F148" s="44" t="s">
        <v>161</v>
      </c>
      <c r="G148" s="44"/>
      <c r="H148" s="35" t="s">
        <v>0</v>
      </c>
      <c r="I148" s="21"/>
      <c r="J148" s="21"/>
    </row>
    <row r="149" spans="1:10" s="13" customFormat="1" ht="14.45" customHeight="1" x14ac:dyDescent="0.2">
      <c r="A149" s="49" t="s">
        <v>162</v>
      </c>
      <c r="B149" s="49"/>
      <c r="C149" s="49"/>
      <c r="D149" s="49"/>
      <c r="E149" s="49"/>
      <c r="F149" s="49"/>
      <c r="G149" s="49"/>
      <c r="H149" s="49"/>
      <c r="I149" s="49"/>
      <c r="J149" s="49"/>
    </row>
    <row r="150" spans="1:10" s="13" customFormat="1" ht="14.45" customHeight="1" x14ac:dyDescent="0.2">
      <c r="A150" s="26" t="s">
        <v>95</v>
      </c>
      <c r="B150" s="36" t="str">
        <f>B114</f>
        <v>CT_SAIL</v>
      </c>
      <c r="C150" s="26" t="s">
        <v>163</v>
      </c>
      <c r="D150" s="35">
        <v>0</v>
      </c>
      <c r="E150" s="44" t="s">
        <v>164</v>
      </c>
      <c r="F150" s="44"/>
      <c r="G150" s="35">
        <v>0</v>
      </c>
      <c r="H150" s="26" t="s">
        <v>165</v>
      </c>
      <c r="I150" s="35" t="s">
        <v>0</v>
      </c>
      <c r="J150" s="21"/>
    </row>
    <row r="151" spans="1:10" s="13" customFormat="1" ht="14.45" customHeight="1" x14ac:dyDescent="0.2">
      <c r="A151" s="26" t="s">
        <v>96</v>
      </c>
      <c r="B151" s="36" t="str">
        <f>B115</f>
        <v>PAR</v>
      </c>
      <c r="C151" s="26" t="s">
        <v>163</v>
      </c>
      <c r="D151" s="35">
        <v>0</v>
      </c>
      <c r="E151" s="44" t="s">
        <v>164</v>
      </c>
      <c r="F151" s="44"/>
      <c r="G151" s="35">
        <v>3</v>
      </c>
      <c r="H151" s="26" t="s">
        <v>165</v>
      </c>
      <c r="I151" s="35" t="s">
        <v>0</v>
      </c>
      <c r="J151" s="11"/>
    </row>
    <row r="152" spans="1:10" s="13" customFormat="1" ht="14.45" customHeight="1" x14ac:dyDescent="0.2">
      <c r="A152" s="26" t="s">
        <v>97</v>
      </c>
      <c r="B152" s="36" t="str">
        <f>B116</f>
        <v>WETLABS</v>
      </c>
      <c r="C152" s="26" t="s">
        <v>163</v>
      </c>
      <c r="D152" s="35">
        <v>0</v>
      </c>
      <c r="E152" s="44" t="s">
        <v>164</v>
      </c>
      <c r="F152" s="44"/>
      <c r="G152" s="35">
        <v>2</v>
      </c>
      <c r="H152" s="26" t="s">
        <v>165</v>
      </c>
      <c r="I152" s="35" t="s">
        <v>0</v>
      </c>
      <c r="J152" s="11"/>
    </row>
    <row r="153" spans="1:10" s="13" customFormat="1" ht="14.45" customHeight="1" x14ac:dyDescent="0.2">
      <c r="A153" s="26" t="s">
        <v>99</v>
      </c>
      <c r="B153" s="36">
        <f>B117</f>
        <v>0</v>
      </c>
      <c r="C153" s="26" t="s">
        <v>163</v>
      </c>
      <c r="D153" s="35"/>
      <c r="E153" s="44" t="s">
        <v>164</v>
      </c>
      <c r="F153" s="44"/>
      <c r="G153" s="35"/>
      <c r="H153" s="26" t="s">
        <v>165</v>
      </c>
      <c r="I153" s="35"/>
      <c r="J153" s="11"/>
    </row>
    <row r="154" spans="1:10" s="13" customFormat="1" ht="14.45" customHeight="1" x14ac:dyDescent="0.2">
      <c r="A154" s="26" t="s">
        <v>101</v>
      </c>
      <c r="B154" s="36">
        <f>B118</f>
        <v>0</v>
      </c>
      <c r="C154" s="26" t="s">
        <v>163</v>
      </c>
      <c r="D154" s="35"/>
      <c r="E154" s="44" t="s">
        <v>164</v>
      </c>
      <c r="F154" s="44"/>
      <c r="G154" s="35"/>
      <c r="H154" s="26" t="s">
        <v>165</v>
      </c>
      <c r="I154" s="35"/>
      <c r="J154" s="11"/>
    </row>
    <row r="155" spans="1:10" s="13" customFormat="1" ht="14.45" customHeight="1" x14ac:dyDescent="0.2">
      <c r="A155" s="26" t="s">
        <v>166</v>
      </c>
      <c r="B155" s="35" t="s">
        <v>0</v>
      </c>
      <c r="C155" s="26" t="s">
        <v>167</v>
      </c>
      <c r="D155" s="35"/>
      <c r="E155" s="44" t="s">
        <v>168</v>
      </c>
      <c r="F155" s="44"/>
      <c r="G155" s="35"/>
      <c r="H155" s="26" t="s">
        <v>169</v>
      </c>
      <c r="I155" s="35"/>
      <c r="J155" s="21"/>
    </row>
    <row r="156" spans="1:10" s="13" customFormat="1" ht="24.6" customHeight="1" x14ac:dyDescent="0.2">
      <c r="A156" s="56" t="s">
        <v>170</v>
      </c>
      <c r="B156" s="57"/>
      <c r="C156" s="57"/>
      <c r="D156" s="57"/>
      <c r="E156" s="57"/>
      <c r="F156" s="57"/>
      <c r="G156" s="57"/>
      <c r="H156" s="57"/>
      <c r="I156" s="57"/>
      <c r="J156" s="57"/>
    </row>
    <row r="157" spans="1:10" s="13" customFormat="1" ht="14.45" customHeight="1" x14ac:dyDescent="0.2">
      <c r="A157" s="26" t="s">
        <v>171</v>
      </c>
      <c r="B157" s="35"/>
      <c r="C157" s="11"/>
      <c r="D157" s="12"/>
      <c r="E157" s="11"/>
      <c r="F157" s="11"/>
      <c r="G157" s="11"/>
      <c r="H157" s="11"/>
      <c r="I157" s="11"/>
      <c r="J157" s="11"/>
    </row>
    <row r="158" spans="1:10" s="13" customFormat="1" ht="14.45" customHeight="1" x14ac:dyDescent="0.2">
      <c r="A158" s="26" t="s">
        <v>172</v>
      </c>
      <c r="B158" s="35"/>
      <c r="C158" s="5"/>
      <c r="D158" s="21"/>
      <c r="E158" s="11"/>
      <c r="F158" s="11"/>
      <c r="G158" s="11"/>
      <c r="H158" s="11"/>
      <c r="I158" s="11"/>
      <c r="J158" s="11"/>
    </row>
    <row r="159" spans="1:10" s="13" customFormat="1" ht="14.45" customHeight="1" x14ac:dyDescent="0.2">
      <c r="A159" s="26" t="s">
        <v>67</v>
      </c>
      <c r="B159" s="48"/>
      <c r="C159" s="48"/>
      <c r="D159" s="48"/>
      <c r="E159" s="48"/>
      <c r="F159" s="48"/>
      <c r="G159" s="48"/>
      <c r="H159" s="48"/>
      <c r="I159" s="48"/>
      <c r="J159" s="48"/>
    </row>
    <row r="160" spans="1:10" s="13" customFormat="1" ht="14.45" customHeight="1" x14ac:dyDescent="0.2">
      <c r="A160" s="48"/>
      <c r="B160" s="48"/>
      <c r="C160" s="48"/>
      <c r="D160" s="48"/>
      <c r="E160" s="48"/>
      <c r="F160" s="48"/>
      <c r="G160" s="48"/>
      <c r="H160" s="48"/>
      <c r="I160" s="48"/>
      <c r="J160" s="48"/>
    </row>
    <row r="161" spans="1:10" s="13" customFormat="1" ht="14.45" customHeight="1" x14ac:dyDescent="0.2">
      <c r="A161" s="48"/>
      <c r="B161" s="48"/>
      <c r="C161" s="48"/>
      <c r="D161" s="48"/>
      <c r="E161" s="48"/>
      <c r="F161" s="48"/>
      <c r="G161" s="48"/>
      <c r="H161" s="48"/>
      <c r="I161" s="48"/>
      <c r="J161" s="48"/>
    </row>
    <row r="162" spans="1:10" s="13" customFormat="1" ht="14.45" customHeight="1" x14ac:dyDescent="0.2">
      <c r="A162" s="17"/>
      <c r="B162" s="5"/>
      <c r="C162" s="11"/>
      <c r="D162" s="12"/>
      <c r="E162" s="11"/>
      <c r="F162" s="11"/>
      <c r="G162" s="11"/>
      <c r="H162" s="11"/>
      <c r="I162" s="11"/>
      <c r="J162" s="11"/>
    </row>
    <row r="163" spans="1:10" ht="21" x14ac:dyDescent="0.25">
      <c r="A163" s="47" t="s">
        <v>40</v>
      </c>
      <c r="B163" s="47"/>
      <c r="C163" s="47"/>
      <c r="D163" s="47"/>
      <c r="E163" s="47"/>
      <c r="F163" s="47"/>
      <c r="G163" s="47"/>
      <c r="H163" s="47"/>
      <c r="I163" s="47"/>
      <c r="J163" s="47"/>
    </row>
    <row r="164" spans="1:10" s="13" customFormat="1" ht="14.45" customHeight="1" x14ac:dyDescent="0.2">
      <c r="A164" s="49" t="s">
        <v>173</v>
      </c>
      <c r="B164" s="49"/>
      <c r="C164" s="49"/>
      <c r="D164" s="49"/>
      <c r="E164" s="49"/>
      <c r="F164" s="49"/>
      <c r="G164" s="49"/>
      <c r="H164" s="49"/>
      <c r="I164" s="49"/>
      <c r="J164" s="49"/>
    </row>
    <row r="165" spans="1:10" s="13" customFormat="1" ht="14.45" customHeight="1" x14ac:dyDescent="0.2">
      <c r="A165" s="26" t="s">
        <v>174</v>
      </c>
      <c r="B165" s="35"/>
      <c r="C165" s="11"/>
      <c r="D165" s="12"/>
      <c r="E165" s="11"/>
      <c r="F165" s="11"/>
      <c r="G165" s="11"/>
      <c r="H165" s="11"/>
      <c r="I165" s="11"/>
      <c r="J165" s="11"/>
    </row>
    <row r="166" spans="1:10" s="13" customFormat="1" ht="14.45" customHeight="1" x14ac:dyDescent="0.2">
      <c r="A166" s="26" t="s">
        <v>175</v>
      </c>
      <c r="B166" s="35"/>
      <c r="C166" s="44" t="s">
        <v>176</v>
      </c>
      <c r="D166" s="44"/>
      <c r="E166" s="43"/>
      <c r="F166" s="43"/>
      <c r="G166" s="11"/>
      <c r="H166" s="11"/>
      <c r="I166" s="11"/>
      <c r="J166" s="11"/>
    </row>
    <row r="167" spans="1:10" x14ac:dyDescent="0.25">
      <c r="A167" s="50" t="s">
        <v>177</v>
      </c>
      <c r="B167" s="50"/>
      <c r="C167" s="50"/>
      <c r="D167" s="50"/>
      <c r="E167" s="50"/>
      <c r="F167" s="50"/>
      <c r="G167" s="50"/>
      <c r="H167" s="50"/>
      <c r="I167" s="50"/>
      <c r="J167" s="50"/>
    </row>
    <row r="168" spans="1:10" s="13" customFormat="1" ht="14.45" customHeight="1" x14ac:dyDescent="0.2">
      <c r="A168" s="26" t="s">
        <v>47</v>
      </c>
      <c r="B168" s="35"/>
      <c r="C168" s="11"/>
      <c r="D168" s="5"/>
      <c r="E168" s="5"/>
      <c r="F168" s="5"/>
      <c r="G168" s="5"/>
      <c r="H168" s="5"/>
      <c r="I168" s="5"/>
      <c r="J168" s="5"/>
    </row>
    <row r="169" spans="1:10" s="13" customFormat="1" ht="14.45" customHeight="1" x14ac:dyDescent="0.2">
      <c r="A169" s="26" t="s">
        <v>48</v>
      </c>
      <c r="B169" s="35">
        <v>74109</v>
      </c>
      <c r="C169" s="11"/>
      <c r="D169" s="11"/>
      <c r="E169" s="5"/>
      <c r="F169" s="5"/>
      <c r="G169" s="5"/>
      <c r="H169" s="5"/>
      <c r="I169" s="5"/>
      <c r="J169" s="5"/>
    </row>
    <row r="170" spans="1:10" s="13" customFormat="1" ht="14.45" customHeight="1" x14ac:dyDescent="0.2">
      <c r="A170" s="26" t="s">
        <v>178</v>
      </c>
      <c r="B170" s="35"/>
      <c r="C170" s="36"/>
      <c r="D170" s="36"/>
      <c r="E170" s="5"/>
      <c r="F170" s="5"/>
      <c r="G170" s="5"/>
      <c r="H170" s="5"/>
      <c r="I170" s="5"/>
      <c r="J170" s="5"/>
    </row>
    <row r="171" spans="1:10" s="13" customFormat="1" ht="14.45" customHeight="1" x14ac:dyDescent="0.2">
      <c r="A171" s="26" t="s">
        <v>50</v>
      </c>
      <c r="B171" s="35"/>
      <c r="C171" s="36"/>
      <c r="D171" s="36"/>
      <c r="E171" s="5"/>
      <c r="F171" s="5"/>
      <c r="G171" s="5"/>
      <c r="H171" s="5"/>
      <c r="I171" s="5"/>
      <c r="J171" s="5"/>
    </row>
    <row r="172" spans="1:10" s="13" customFormat="1" ht="14.45" customHeight="1" x14ac:dyDescent="0.2">
      <c r="A172" s="26" t="s">
        <v>51</v>
      </c>
      <c r="B172" s="35"/>
      <c r="C172" s="26" t="s">
        <v>52</v>
      </c>
      <c r="D172" s="35"/>
      <c r="E172" s="15" t="s">
        <v>53</v>
      </c>
      <c r="F172" s="5"/>
      <c r="G172" s="5"/>
      <c r="H172" s="5"/>
      <c r="I172" s="5"/>
      <c r="J172" s="5"/>
    </row>
    <row r="173" spans="1:10" s="13" customFormat="1" ht="14.45" customHeight="1" x14ac:dyDescent="0.2">
      <c r="A173" s="26" t="s">
        <v>54</v>
      </c>
      <c r="B173" s="35"/>
      <c r="C173" s="26" t="s">
        <v>179</v>
      </c>
      <c r="D173" s="35"/>
      <c r="E173" s="15" t="s">
        <v>53</v>
      </c>
      <c r="F173" s="5"/>
      <c r="G173" s="5"/>
      <c r="H173" s="5"/>
      <c r="I173" s="5"/>
      <c r="J173" s="5"/>
    </row>
    <row r="174" spans="1:10" x14ac:dyDescent="0.25">
      <c r="A174" s="49" t="s">
        <v>56</v>
      </c>
      <c r="B174" s="49"/>
      <c r="C174" s="49"/>
      <c r="D174" s="49"/>
      <c r="E174" s="49"/>
      <c r="F174" s="49"/>
      <c r="G174" s="49"/>
      <c r="H174" s="49"/>
      <c r="I174" s="49"/>
      <c r="J174" s="49"/>
    </row>
    <row r="175" spans="1:10" s="13" customFormat="1" ht="14.45" customHeight="1" x14ac:dyDescent="0.2">
      <c r="A175" s="26" t="s">
        <v>57</v>
      </c>
      <c r="B175" s="35"/>
      <c r="C175" s="15" t="s">
        <v>58</v>
      </c>
      <c r="D175" s="36"/>
      <c r="E175" s="15"/>
      <c r="F175" s="5"/>
      <c r="G175" s="5"/>
      <c r="H175" s="5"/>
      <c r="I175" s="5"/>
      <c r="J175" s="5"/>
    </row>
    <row r="176" spans="1:10" s="13" customFormat="1" ht="14.45" customHeight="1" x14ac:dyDescent="0.2">
      <c r="A176" s="26" t="s">
        <v>59</v>
      </c>
      <c r="B176" s="35"/>
      <c r="C176" s="15" t="s">
        <v>58</v>
      </c>
      <c r="D176" s="36"/>
      <c r="E176" s="15"/>
      <c r="F176" s="5"/>
      <c r="G176" s="5"/>
      <c r="H176" s="5"/>
      <c r="I176" s="5"/>
      <c r="J176" s="5"/>
    </row>
    <row r="177" spans="1:10" s="13" customFormat="1" ht="14.45" customHeight="1" x14ac:dyDescent="0.2">
      <c r="A177" s="26" t="s">
        <v>60</v>
      </c>
      <c r="B177" s="35"/>
      <c r="C177" s="15" t="s">
        <v>61</v>
      </c>
      <c r="D177" s="36"/>
      <c r="E177" s="15"/>
      <c r="F177" s="26" t="s">
        <v>62</v>
      </c>
      <c r="G177" s="35"/>
      <c r="H177" s="15" t="s">
        <v>63</v>
      </c>
      <c r="I177" s="5"/>
      <c r="J177" s="5"/>
    </row>
    <row r="178" spans="1:10" s="13" customFormat="1" ht="14.45" customHeight="1" x14ac:dyDescent="0.2">
      <c r="A178" s="26" t="s">
        <v>64</v>
      </c>
      <c r="B178" s="35"/>
      <c r="C178" s="15" t="s">
        <v>65</v>
      </c>
      <c r="D178" s="36"/>
      <c r="E178" s="15"/>
      <c r="F178" s="26" t="s">
        <v>180</v>
      </c>
      <c r="G178" s="35"/>
      <c r="H178" s="15" t="s">
        <v>63</v>
      </c>
      <c r="I178" s="5"/>
      <c r="J178" s="5"/>
    </row>
    <row r="179" spans="1:10" s="13" customFormat="1" ht="14.45" customHeight="1" x14ac:dyDescent="0.2">
      <c r="A179" s="26" t="s">
        <v>181</v>
      </c>
      <c r="B179" s="48"/>
      <c r="C179" s="48"/>
      <c r="D179" s="48"/>
      <c r="E179" s="48"/>
      <c r="F179" s="48"/>
      <c r="G179" s="48"/>
      <c r="H179" s="48"/>
      <c r="I179" s="48"/>
      <c r="J179" s="48"/>
    </row>
    <row r="180" spans="1:10" s="13" customFormat="1" ht="14.45" customHeight="1" x14ac:dyDescent="0.2">
      <c r="A180" s="48"/>
      <c r="B180" s="48"/>
      <c r="C180" s="48"/>
      <c r="D180" s="48"/>
      <c r="E180" s="48"/>
      <c r="F180" s="48"/>
      <c r="G180" s="48"/>
      <c r="H180" s="48"/>
      <c r="I180" s="48"/>
      <c r="J180" s="48"/>
    </row>
    <row r="181" spans="1:10" s="13" customFormat="1" ht="14.45" customHeight="1" x14ac:dyDescent="0.2">
      <c r="A181" s="49" t="s">
        <v>182</v>
      </c>
      <c r="B181" s="49"/>
      <c r="C181" s="49"/>
      <c r="D181" s="49"/>
      <c r="E181" s="49"/>
      <c r="F181" s="49"/>
      <c r="G181" s="49"/>
      <c r="H181" s="49"/>
      <c r="I181" s="49"/>
      <c r="J181" s="49"/>
    </row>
    <row r="182" spans="1:10" s="13" customFormat="1" ht="14.45" customHeight="1" x14ac:dyDescent="0.2">
      <c r="A182" s="26" t="s">
        <v>183</v>
      </c>
      <c r="B182" s="35"/>
      <c r="C182" s="5"/>
      <c r="D182" s="21"/>
      <c r="E182" s="11"/>
      <c r="F182" s="11"/>
      <c r="G182" s="11"/>
      <c r="H182" s="11"/>
      <c r="I182" s="11"/>
      <c r="J182" s="11"/>
    </row>
    <row r="183" spans="1:10" s="13" customFormat="1" ht="14.45" customHeight="1" x14ac:dyDescent="0.2">
      <c r="A183" s="26" t="s">
        <v>184</v>
      </c>
      <c r="B183" s="48"/>
      <c r="C183" s="48"/>
      <c r="D183" s="48"/>
      <c r="E183" s="48"/>
      <c r="F183" s="48"/>
      <c r="G183" s="48"/>
      <c r="H183" s="48"/>
      <c r="I183" s="48"/>
      <c r="J183" s="48"/>
    </row>
    <row r="184" spans="1:10" s="13" customFormat="1" ht="14.45" customHeight="1" x14ac:dyDescent="0.2">
      <c r="A184" s="48"/>
      <c r="B184" s="48"/>
      <c r="C184" s="48"/>
      <c r="D184" s="48"/>
      <c r="E184" s="48"/>
      <c r="F184" s="48"/>
      <c r="G184" s="48"/>
      <c r="H184" s="48"/>
      <c r="I184" s="48"/>
      <c r="J184" s="48"/>
    </row>
    <row r="185" spans="1:10" s="13" customFormat="1" ht="14.45" customHeight="1" x14ac:dyDescent="0.2">
      <c r="A185" s="26" t="s">
        <v>178</v>
      </c>
      <c r="B185" s="35"/>
      <c r="C185" s="36"/>
      <c r="D185" s="36"/>
      <c r="E185" s="5"/>
      <c r="F185" s="5"/>
      <c r="G185" s="5"/>
      <c r="H185" s="5"/>
      <c r="I185" s="5"/>
      <c r="J185" s="5"/>
    </row>
    <row r="186" spans="1:10" s="13" customFormat="1" ht="14.45" customHeight="1" x14ac:dyDescent="0.2">
      <c r="A186" s="26" t="s">
        <v>50</v>
      </c>
      <c r="B186" s="35"/>
      <c r="C186" s="36"/>
      <c r="D186" s="36"/>
      <c r="E186" s="5"/>
      <c r="F186" s="5"/>
      <c r="G186" s="5"/>
      <c r="H186" s="5"/>
      <c r="I186" s="5"/>
      <c r="J186" s="5"/>
    </row>
    <row r="187" spans="1:10" s="13" customFormat="1" ht="14.45" customHeight="1" x14ac:dyDescent="0.2">
      <c r="A187" s="26" t="s">
        <v>51</v>
      </c>
      <c r="B187" s="35"/>
      <c r="C187" s="26" t="s">
        <v>52</v>
      </c>
      <c r="D187" s="35"/>
      <c r="E187" s="15" t="s">
        <v>53</v>
      </c>
      <c r="F187" s="5"/>
      <c r="G187" s="5"/>
      <c r="H187" s="5"/>
      <c r="I187" s="5"/>
      <c r="J187" s="5"/>
    </row>
    <row r="188" spans="1:10" s="13" customFormat="1" ht="14.45" customHeight="1" x14ac:dyDescent="0.2">
      <c r="A188" s="26" t="s">
        <v>54</v>
      </c>
      <c r="B188" s="35"/>
      <c r="C188" s="26" t="s">
        <v>55</v>
      </c>
      <c r="D188" s="35"/>
      <c r="E188" s="15" t="s">
        <v>53</v>
      </c>
      <c r="F188" s="5"/>
      <c r="G188" s="5"/>
      <c r="H188" s="5"/>
      <c r="I188" s="5"/>
      <c r="J188" s="5"/>
    </row>
    <row r="189" spans="1:10" s="13" customFormat="1" ht="14.45" customHeight="1" x14ac:dyDescent="0.2">
      <c r="A189" s="26" t="s">
        <v>57</v>
      </c>
      <c r="B189" s="35"/>
      <c r="C189" s="15" t="s">
        <v>58</v>
      </c>
      <c r="D189" s="36"/>
      <c r="E189" s="15"/>
      <c r="F189" s="5"/>
      <c r="G189" s="5"/>
      <c r="H189" s="5"/>
      <c r="I189" s="5"/>
      <c r="J189" s="5"/>
    </row>
    <row r="190" spans="1:10" s="13" customFormat="1" ht="14.45" customHeight="1" x14ac:dyDescent="0.2">
      <c r="A190" s="26" t="s">
        <v>59</v>
      </c>
      <c r="B190" s="35"/>
      <c r="C190" s="15" t="s">
        <v>58</v>
      </c>
      <c r="D190" s="36"/>
      <c r="E190" s="15"/>
      <c r="F190" s="5"/>
      <c r="G190" s="5"/>
      <c r="H190" s="5"/>
      <c r="I190" s="5"/>
      <c r="J190" s="5"/>
    </row>
    <row r="191" spans="1:10" s="13" customFormat="1" ht="14.45" customHeight="1" x14ac:dyDescent="0.2">
      <c r="A191" s="26" t="s">
        <v>60</v>
      </c>
      <c r="B191" s="35"/>
      <c r="C191" s="15" t="s">
        <v>61</v>
      </c>
      <c r="D191" s="36"/>
      <c r="E191" s="15"/>
      <c r="F191" s="26" t="s">
        <v>62</v>
      </c>
      <c r="G191" s="35"/>
      <c r="H191" s="15" t="s">
        <v>63</v>
      </c>
      <c r="I191" s="5"/>
      <c r="J191" s="5"/>
    </row>
    <row r="192" spans="1:10" s="13" customFormat="1" ht="14.45" customHeight="1" x14ac:dyDescent="0.2">
      <c r="A192" s="26" t="s">
        <v>64</v>
      </c>
      <c r="B192" s="35"/>
      <c r="C192" s="15" t="s">
        <v>65</v>
      </c>
      <c r="D192" s="36"/>
      <c r="E192" s="15"/>
      <c r="F192" s="26" t="s">
        <v>180</v>
      </c>
      <c r="G192" s="35"/>
      <c r="H192" s="15" t="s">
        <v>63</v>
      </c>
      <c r="I192" s="5"/>
      <c r="J192" s="5"/>
    </row>
    <row r="193" spans="1:10" s="13" customFormat="1" ht="14.45" customHeight="1" x14ac:dyDescent="0.2">
      <c r="A193" s="26" t="s">
        <v>185</v>
      </c>
      <c r="B193" s="38"/>
      <c r="C193" s="5"/>
      <c r="D193" s="26" t="s">
        <v>186</v>
      </c>
      <c r="E193" s="43"/>
      <c r="F193" s="43"/>
      <c r="G193" s="11"/>
      <c r="H193" s="11"/>
      <c r="I193" s="11"/>
      <c r="J193" s="11"/>
    </row>
    <row r="194" spans="1:10" s="13" customFormat="1" ht="14.45" customHeight="1" x14ac:dyDescent="0.2">
      <c r="A194" s="26" t="s">
        <v>187</v>
      </c>
      <c r="B194" s="38"/>
      <c r="C194" s="5"/>
      <c r="D194" s="26" t="s">
        <v>188</v>
      </c>
      <c r="E194" s="52"/>
      <c r="F194" s="52"/>
      <c r="G194" s="16" t="s">
        <v>189</v>
      </c>
      <c r="H194" s="11"/>
      <c r="I194" s="11"/>
      <c r="J194" s="11"/>
    </row>
    <row r="195" spans="1:10" s="13" customFormat="1" ht="14.45" customHeight="1" x14ac:dyDescent="0.2">
      <c r="A195" s="26" t="s">
        <v>190</v>
      </c>
      <c r="B195" s="38"/>
      <c r="C195" s="14" t="s">
        <v>191</v>
      </c>
      <c r="D195" s="36"/>
      <c r="E195" s="36"/>
      <c r="F195" s="26" t="s">
        <v>190</v>
      </c>
      <c r="G195" s="38"/>
      <c r="H195" s="14" t="s">
        <v>192</v>
      </c>
      <c r="I195" s="36"/>
      <c r="J195" s="36"/>
    </row>
    <row r="196" spans="1:10" s="13" customFormat="1" ht="14.45" customHeight="1" x14ac:dyDescent="0.2">
      <c r="A196" s="26" t="s">
        <v>67</v>
      </c>
      <c r="B196" s="48"/>
      <c r="C196" s="48"/>
      <c r="D196" s="48"/>
      <c r="E196" s="48"/>
      <c r="F196" s="48"/>
      <c r="G196" s="48"/>
      <c r="H196" s="48"/>
      <c r="I196" s="48"/>
      <c r="J196" s="48"/>
    </row>
    <row r="197" spans="1:10" s="13" customFormat="1" ht="14.45" customHeight="1" x14ac:dyDescent="0.2">
      <c r="A197" s="48"/>
      <c r="B197" s="48"/>
      <c r="C197" s="48"/>
      <c r="D197" s="48"/>
      <c r="E197" s="48"/>
      <c r="F197" s="48"/>
      <c r="G197" s="48"/>
      <c r="H197" s="48"/>
      <c r="I197" s="48"/>
      <c r="J197" s="48"/>
    </row>
    <row r="198" spans="1:10" s="13" customFormat="1" ht="14.45" customHeight="1" x14ac:dyDescent="0.2">
      <c r="A198" s="48"/>
      <c r="B198" s="48"/>
      <c r="C198" s="48"/>
      <c r="D198" s="48"/>
      <c r="E198" s="48"/>
      <c r="F198" s="48"/>
      <c r="G198" s="48"/>
      <c r="H198" s="48"/>
      <c r="I198" s="48"/>
      <c r="J198" s="48"/>
    </row>
    <row r="199" spans="1:10" s="13" customFormat="1" ht="14.45" customHeight="1" x14ac:dyDescent="0.2">
      <c r="A199" s="21"/>
      <c r="B199" s="11"/>
      <c r="C199" s="11"/>
      <c r="D199" s="12"/>
      <c r="E199" s="11"/>
      <c r="F199" s="11"/>
      <c r="G199" s="11"/>
      <c r="H199" s="11"/>
      <c r="I199" s="11"/>
      <c r="J199" s="11"/>
    </row>
    <row r="200" spans="1:10" ht="21" x14ac:dyDescent="0.25">
      <c r="A200" s="47" t="s">
        <v>42</v>
      </c>
      <c r="B200" s="47"/>
      <c r="C200" s="47"/>
      <c r="D200" s="47"/>
      <c r="E200" s="47"/>
      <c r="F200" s="47"/>
      <c r="G200" s="47"/>
      <c r="H200" s="47"/>
      <c r="I200" s="47"/>
      <c r="J200" s="47"/>
    </row>
    <row r="201" spans="1:10" s="13" customFormat="1" ht="14.45" hidden="1" customHeight="1" x14ac:dyDescent="0.2">
      <c r="A201" s="49" t="s">
        <v>193</v>
      </c>
      <c r="B201" s="49"/>
      <c r="C201" s="49"/>
      <c r="D201" s="49"/>
      <c r="E201" s="49"/>
      <c r="F201" s="49"/>
      <c r="G201" s="49"/>
      <c r="H201" s="49"/>
      <c r="I201" s="49"/>
      <c r="J201" s="49"/>
    </row>
    <row r="202" spans="1:10" s="13" customFormat="1" ht="14.45" hidden="1" customHeight="1" x14ac:dyDescent="0.2">
      <c r="A202" s="26" t="s">
        <v>194</v>
      </c>
      <c r="B202" s="35"/>
      <c r="C202" s="16"/>
      <c r="D202" s="26" t="s">
        <v>195</v>
      </c>
      <c r="E202" s="43"/>
      <c r="F202" s="43"/>
      <c r="G202" s="22" t="s">
        <v>196</v>
      </c>
      <c r="H202" s="11"/>
      <c r="I202" s="11"/>
      <c r="J202" s="11"/>
    </row>
    <row r="203" spans="1:10" s="13" customFormat="1" ht="14.45" hidden="1" customHeight="1" x14ac:dyDescent="0.2">
      <c r="A203" s="26" t="s">
        <v>197</v>
      </c>
      <c r="B203" s="35"/>
      <c r="C203" s="26"/>
      <c r="D203" s="26"/>
      <c r="E203" s="5"/>
      <c r="F203" s="5"/>
      <c r="G203" s="11"/>
      <c r="H203" s="11"/>
      <c r="I203" s="11"/>
      <c r="J203" s="11"/>
    </row>
    <row r="204" spans="1:10" s="13" customFormat="1" ht="14.45" hidden="1" customHeight="1" x14ac:dyDescent="0.2">
      <c r="A204" s="26" t="s">
        <v>67</v>
      </c>
      <c r="B204" s="48"/>
      <c r="C204" s="48"/>
      <c r="D204" s="48"/>
      <c r="E204" s="48"/>
      <c r="F204" s="48"/>
      <c r="G204" s="48"/>
      <c r="H204" s="48"/>
      <c r="I204" s="48"/>
      <c r="J204" s="48"/>
    </row>
    <row r="205" spans="1:10" s="13" customFormat="1" ht="14.45" hidden="1" customHeight="1" x14ac:dyDescent="0.2">
      <c r="A205" s="48"/>
      <c r="B205" s="48"/>
      <c r="C205" s="48"/>
      <c r="D205" s="48"/>
      <c r="E205" s="48"/>
      <c r="F205" s="48"/>
      <c r="G205" s="48"/>
      <c r="H205" s="48"/>
      <c r="I205" s="48"/>
      <c r="J205" s="48"/>
    </row>
    <row r="206" spans="1:10" s="13" customFormat="1" ht="14.45" hidden="1" customHeight="1" x14ac:dyDescent="0.2">
      <c r="A206" s="48"/>
      <c r="B206" s="48"/>
      <c r="C206" s="48"/>
      <c r="D206" s="48"/>
      <c r="E206" s="48"/>
      <c r="F206" s="48"/>
      <c r="G206" s="48"/>
      <c r="H206" s="48"/>
      <c r="I206" s="48"/>
      <c r="J206" s="48"/>
    </row>
    <row r="207" spans="1:10" s="13" customFormat="1" ht="14.45" customHeight="1" x14ac:dyDescent="0.2">
      <c r="A207" s="11"/>
      <c r="B207" s="36"/>
      <c r="C207" s="11"/>
      <c r="D207" s="12"/>
      <c r="E207" s="11"/>
      <c r="F207" s="11"/>
      <c r="G207" s="11"/>
      <c r="H207" s="11"/>
      <c r="I207" s="11"/>
      <c r="J207" s="11"/>
    </row>
    <row r="208" spans="1:10" ht="21" x14ac:dyDescent="0.25">
      <c r="A208" s="47" t="s">
        <v>43</v>
      </c>
      <c r="B208" s="47"/>
      <c r="C208" s="47"/>
      <c r="D208" s="47"/>
      <c r="E208" s="47"/>
      <c r="F208" s="47"/>
      <c r="G208" s="47"/>
      <c r="H208" s="47"/>
      <c r="I208" s="47"/>
      <c r="J208" s="47"/>
    </row>
    <row r="209" spans="1:10" s="13" customFormat="1" ht="14.45" customHeight="1" x14ac:dyDescent="0.2">
      <c r="A209" s="49" t="s">
        <v>198</v>
      </c>
      <c r="B209" s="49"/>
      <c r="C209" s="49"/>
      <c r="D209" s="49"/>
      <c r="E209" s="49"/>
      <c r="F209" s="49"/>
      <c r="G209" s="49"/>
      <c r="H209" s="49"/>
      <c r="I209" s="49"/>
      <c r="J209" s="49"/>
    </row>
    <row r="210" spans="1:10" s="13" customFormat="1" ht="14.45" customHeight="1" x14ac:dyDescent="0.2">
      <c r="A210" s="26" t="s">
        <v>47</v>
      </c>
      <c r="B210" s="35"/>
      <c r="C210" s="16"/>
      <c r="D210" s="12"/>
      <c r="E210" s="11"/>
      <c r="F210" s="11"/>
      <c r="G210" s="11"/>
      <c r="H210" s="11"/>
      <c r="I210" s="11"/>
      <c r="J210" s="11"/>
    </row>
    <row r="211" spans="1:10" s="13" customFormat="1" ht="14.45" customHeight="1" x14ac:dyDescent="0.2">
      <c r="A211" s="26" t="s">
        <v>199</v>
      </c>
      <c r="B211" s="35"/>
      <c r="C211" s="26"/>
      <c r="D211" s="26"/>
      <c r="E211" s="5"/>
      <c r="F211" s="5"/>
      <c r="G211" s="11"/>
      <c r="H211" s="11"/>
      <c r="I211" s="11"/>
      <c r="J211" s="11"/>
    </row>
    <row r="212" spans="1:10" s="13" customFormat="1" ht="14.45" customHeight="1" x14ac:dyDescent="0.2">
      <c r="A212" s="26" t="s">
        <v>200</v>
      </c>
      <c r="B212" s="35"/>
      <c r="C212" s="21"/>
      <c r="D212" s="12"/>
      <c r="E212" s="5"/>
      <c r="F212" s="5"/>
      <c r="G212" s="40" t="s">
        <v>223</v>
      </c>
      <c r="H212" s="39"/>
      <c r="I212" s="11"/>
      <c r="J212" s="11"/>
    </row>
    <row r="213" spans="1:10" s="13" customFormat="1" ht="14.45" customHeight="1" x14ac:dyDescent="0.2">
      <c r="A213" s="26" t="s">
        <v>67</v>
      </c>
      <c r="B213" s="48"/>
      <c r="C213" s="48"/>
      <c r="D213" s="48"/>
      <c r="E213" s="48"/>
      <c r="F213" s="48"/>
      <c r="G213" s="48"/>
      <c r="H213" s="48"/>
      <c r="I213" s="48"/>
      <c r="J213" s="48"/>
    </row>
    <row r="214" spans="1:10" s="13" customFormat="1" ht="14.45" customHeight="1" x14ac:dyDescent="0.2">
      <c r="A214" s="26" t="s">
        <v>201</v>
      </c>
      <c r="B214" s="35"/>
      <c r="C214" s="51"/>
      <c r="D214" s="51"/>
      <c r="E214" s="51"/>
      <c r="F214" s="51"/>
      <c r="G214" s="26" t="s">
        <v>202</v>
      </c>
      <c r="H214" s="35"/>
      <c r="I214" s="11"/>
      <c r="J214" s="11"/>
    </row>
    <row r="215" spans="1:10" s="13" customFormat="1" ht="14.45" customHeight="1" x14ac:dyDescent="0.2">
      <c r="A215" s="26" t="s">
        <v>201</v>
      </c>
      <c r="B215" s="35"/>
      <c r="C215" s="51"/>
      <c r="D215" s="51"/>
      <c r="E215" s="51"/>
      <c r="F215" s="51"/>
      <c r="G215" s="26" t="s">
        <v>202</v>
      </c>
      <c r="H215" s="35"/>
      <c r="I215" s="11"/>
      <c r="J215" s="11"/>
    </row>
    <row r="216" spans="1:10" s="13" customFormat="1" ht="14.45" customHeight="1" x14ac:dyDescent="0.2">
      <c r="A216" s="26" t="s">
        <v>201</v>
      </c>
      <c r="B216" s="35"/>
      <c r="C216" s="51"/>
      <c r="D216" s="51"/>
      <c r="E216" s="51"/>
      <c r="F216" s="51"/>
      <c r="G216" s="26" t="s">
        <v>202</v>
      </c>
      <c r="H216" s="35"/>
      <c r="I216" s="11"/>
      <c r="J216" s="11"/>
    </row>
    <row r="217" spans="1:10" x14ac:dyDescent="0.25">
      <c r="A217" s="26" t="s">
        <v>201</v>
      </c>
      <c r="B217" s="35"/>
      <c r="C217" s="51"/>
      <c r="D217" s="51"/>
      <c r="E217" s="51"/>
      <c r="F217" s="51"/>
      <c r="G217" s="26" t="s">
        <v>202</v>
      </c>
      <c r="H217" s="35"/>
      <c r="I217" s="11"/>
      <c r="J217" s="11"/>
    </row>
    <row r="218" spans="1:10" s="13" customFormat="1" ht="14.45" customHeight="1" x14ac:dyDescent="0.2">
      <c r="A218" s="26" t="s">
        <v>201</v>
      </c>
      <c r="B218" s="35"/>
      <c r="C218" s="51"/>
      <c r="D218" s="51"/>
      <c r="E218" s="51"/>
      <c r="F218" s="51"/>
      <c r="G218" s="26" t="s">
        <v>202</v>
      </c>
      <c r="H218" s="35"/>
      <c r="I218" s="11"/>
      <c r="J218" s="11"/>
    </row>
    <row r="219" spans="1:10" s="13" customFormat="1" ht="14.45" customHeight="1" x14ac:dyDescent="0.2">
      <c r="A219" s="26" t="s">
        <v>201</v>
      </c>
      <c r="B219" s="35"/>
      <c r="C219" s="51"/>
      <c r="D219" s="51"/>
      <c r="E219" s="51"/>
      <c r="F219" s="51"/>
      <c r="G219" s="26" t="s">
        <v>202</v>
      </c>
      <c r="H219" s="35"/>
      <c r="I219" s="11"/>
      <c r="J219" s="11"/>
    </row>
    <row r="220" spans="1:10" s="13" customFormat="1" ht="14.45" customHeight="1" x14ac:dyDescent="0.2">
      <c r="A220" s="26" t="s">
        <v>201</v>
      </c>
      <c r="B220" s="35"/>
      <c r="C220" s="51"/>
      <c r="D220" s="51"/>
      <c r="E220" s="51"/>
      <c r="F220" s="51"/>
      <c r="G220" s="26" t="s">
        <v>202</v>
      </c>
      <c r="H220" s="35"/>
      <c r="I220" s="11"/>
      <c r="J220" s="11"/>
    </row>
    <row r="221" spans="1:10" s="13" customFormat="1" ht="14.45" customHeight="1" x14ac:dyDescent="0.2">
      <c r="A221" s="26" t="s">
        <v>201</v>
      </c>
      <c r="B221" s="35"/>
      <c r="C221" s="51"/>
      <c r="D221" s="51"/>
      <c r="E221" s="51"/>
      <c r="F221" s="51"/>
      <c r="G221" s="26" t="s">
        <v>202</v>
      </c>
      <c r="H221" s="35"/>
      <c r="I221" s="11"/>
      <c r="J221" s="11"/>
    </row>
    <row r="222" spans="1:10" s="13" customFormat="1" ht="14.45" customHeight="1" x14ac:dyDescent="0.2">
      <c r="A222" s="48"/>
      <c r="B222" s="48"/>
      <c r="C222" s="48"/>
      <c r="D222" s="48"/>
      <c r="E222" s="48"/>
      <c r="F222" s="48"/>
      <c r="G222" s="48"/>
      <c r="H222" s="48"/>
      <c r="I222" s="48"/>
      <c r="J222" s="48"/>
    </row>
    <row r="223" spans="1:10" s="13" customFormat="1" ht="14.45" customHeight="1" x14ac:dyDescent="0.2">
      <c r="A223" s="48"/>
      <c r="B223" s="48"/>
      <c r="C223" s="48"/>
      <c r="D223" s="48"/>
      <c r="E223" s="48"/>
      <c r="F223" s="48"/>
      <c r="G223" s="48"/>
      <c r="H223" s="48"/>
      <c r="I223" s="48"/>
      <c r="J223" s="48"/>
    </row>
    <row r="224" spans="1:10" s="13" customFormat="1" ht="14.45" customHeight="1" x14ac:dyDescent="0.2">
      <c r="A224" s="11"/>
      <c r="B224" s="36"/>
      <c r="C224" s="11"/>
      <c r="D224" s="12"/>
      <c r="E224" s="11"/>
      <c r="F224" s="11"/>
      <c r="G224" s="11"/>
      <c r="H224" s="11"/>
      <c r="I224" s="11"/>
      <c r="J224" s="11"/>
    </row>
    <row r="225" spans="1:10" s="13" customFormat="1" ht="14.45" customHeight="1" x14ac:dyDescent="0.2">
      <c r="A225" s="47" t="s">
        <v>44</v>
      </c>
      <c r="B225" s="47"/>
      <c r="C225" s="47"/>
      <c r="D225" s="47"/>
      <c r="E225" s="47"/>
      <c r="F225" s="47"/>
      <c r="G225" s="47"/>
      <c r="H225" s="47"/>
      <c r="I225" s="47"/>
      <c r="J225" s="47"/>
    </row>
    <row r="226" spans="1:10" s="13" customFormat="1" ht="14.45" customHeight="1" x14ac:dyDescent="0.2">
      <c r="A226" s="49" t="s">
        <v>203</v>
      </c>
      <c r="B226" s="49"/>
      <c r="C226" s="49"/>
      <c r="D226" s="49"/>
      <c r="E226" s="49"/>
      <c r="F226" s="49"/>
      <c r="G226" s="49"/>
      <c r="H226" s="49"/>
      <c r="I226" s="49"/>
      <c r="J226" s="49"/>
    </row>
    <row r="227" spans="1:10" s="13" customFormat="1" ht="14.45" customHeight="1" x14ac:dyDescent="0.2">
      <c r="A227" s="26" t="s">
        <v>204</v>
      </c>
      <c r="B227" s="35">
        <v>0.01</v>
      </c>
      <c r="C227" s="14" t="s">
        <v>205</v>
      </c>
      <c r="D227" s="32">
        <f>DEGREES(B227)</f>
        <v>0.57295779513082323</v>
      </c>
      <c r="E227" s="51" t="s">
        <v>206</v>
      </c>
      <c r="F227" s="51"/>
      <c r="G227" s="26" t="s">
        <v>207</v>
      </c>
      <c r="H227" s="42" t="s">
        <v>0</v>
      </c>
      <c r="I227" s="11"/>
      <c r="J227" s="11"/>
    </row>
    <row r="228" spans="1:10" s="13" customFormat="1" ht="14.45" customHeight="1" x14ac:dyDescent="0.2">
      <c r="A228" s="26" t="s">
        <v>208</v>
      </c>
      <c r="B228" s="35">
        <v>0.71299999999999997</v>
      </c>
      <c r="C228" s="14" t="s">
        <v>205</v>
      </c>
      <c r="D228" s="32">
        <f t="shared" ref="D228:D234" si="0">DEGREES(B228)</f>
        <v>40.851890792827696</v>
      </c>
      <c r="E228" s="51" t="s">
        <v>206</v>
      </c>
      <c r="F228" s="51"/>
      <c r="G228" s="26" t="s">
        <v>207</v>
      </c>
      <c r="H228" s="42" t="s">
        <v>0</v>
      </c>
      <c r="I228" s="11"/>
      <c r="J228" s="11"/>
    </row>
    <row r="229" spans="1:10" s="13" customFormat="1" ht="14.45" customHeight="1" x14ac:dyDescent="0.2">
      <c r="A229" s="26" t="s">
        <v>209</v>
      </c>
      <c r="B229" s="35">
        <v>1.41</v>
      </c>
      <c r="C229" s="14" t="s">
        <v>205</v>
      </c>
      <c r="D229" s="32">
        <f t="shared" si="0"/>
        <v>80.787049113446074</v>
      </c>
      <c r="E229" s="51" t="s">
        <v>206</v>
      </c>
      <c r="F229" s="51"/>
      <c r="G229" s="26" t="s">
        <v>207</v>
      </c>
      <c r="H229" s="42" t="s">
        <v>0</v>
      </c>
      <c r="I229" s="11"/>
      <c r="J229" s="11"/>
    </row>
    <row r="230" spans="1:10" s="13" customFormat="1" ht="14.45" customHeight="1" x14ac:dyDescent="0.2">
      <c r="A230" s="26" t="s">
        <v>210</v>
      </c>
      <c r="B230" s="35">
        <v>2.2799999999999998</v>
      </c>
      <c r="C230" s="14" t="s">
        <v>205</v>
      </c>
      <c r="D230" s="32">
        <f t="shared" si="0"/>
        <v>130.63437728982768</v>
      </c>
      <c r="E230" s="51" t="s">
        <v>206</v>
      </c>
      <c r="F230" s="51"/>
      <c r="G230" s="26" t="s">
        <v>207</v>
      </c>
      <c r="H230" s="42" t="s">
        <v>0</v>
      </c>
      <c r="I230" s="11"/>
      <c r="J230" s="11"/>
    </row>
    <row r="231" spans="1:10" s="13" customFormat="1" ht="14.45" customHeight="1" x14ac:dyDescent="0.2">
      <c r="A231" s="26" t="s">
        <v>211</v>
      </c>
      <c r="B231" s="35">
        <v>3.04</v>
      </c>
      <c r="C231" s="14" t="s">
        <v>205</v>
      </c>
      <c r="D231" s="32">
        <f t="shared" si="0"/>
        <v>174.17916971977027</v>
      </c>
      <c r="E231" s="51" t="s">
        <v>206</v>
      </c>
      <c r="F231" s="51"/>
      <c r="G231" s="26" t="s">
        <v>207</v>
      </c>
      <c r="H231" s="42" t="s">
        <v>0</v>
      </c>
      <c r="I231" s="11"/>
      <c r="J231" s="11"/>
    </row>
    <row r="232" spans="1:10" x14ac:dyDescent="0.25">
      <c r="A232" s="26" t="s">
        <v>212</v>
      </c>
      <c r="B232" s="35">
        <v>4.0199999999999996</v>
      </c>
      <c r="C232" s="14" t="s">
        <v>205</v>
      </c>
      <c r="D232" s="32">
        <f t="shared" si="0"/>
        <v>230.3290336425909</v>
      </c>
      <c r="E232" s="51" t="s">
        <v>206</v>
      </c>
      <c r="F232" s="51"/>
      <c r="G232" s="26" t="s">
        <v>207</v>
      </c>
      <c r="H232" s="42" t="s">
        <v>0</v>
      </c>
      <c r="I232" s="11"/>
      <c r="J232" s="11"/>
    </row>
    <row r="233" spans="1:10" s="13" customFormat="1" ht="14.45" customHeight="1" x14ac:dyDescent="0.2">
      <c r="A233" s="26" t="s">
        <v>213</v>
      </c>
      <c r="B233" s="35">
        <v>4.8099999999999996</v>
      </c>
      <c r="C233" s="14" t="s">
        <v>205</v>
      </c>
      <c r="D233" s="32">
        <f t="shared" si="0"/>
        <v>275.59269945792596</v>
      </c>
      <c r="E233" s="51" t="s">
        <v>206</v>
      </c>
      <c r="F233" s="51"/>
      <c r="G233" s="26" t="s">
        <v>207</v>
      </c>
      <c r="H233" s="42" t="s">
        <v>0</v>
      </c>
      <c r="I233" s="11"/>
      <c r="J233" s="11"/>
    </row>
    <row r="234" spans="1:10" s="13" customFormat="1" ht="14.45" customHeight="1" x14ac:dyDescent="0.2">
      <c r="A234" s="26" t="s">
        <v>214</v>
      </c>
      <c r="B234" s="35">
        <v>5.59</v>
      </c>
      <c r="C234" s="14" t="s">
        <v>205</v>
      </c>
      <c r="D234" s="32">
        <f t="shared" si="0"/>
        <v>320.28340747813019</v>
      </c>
      <c r="E234" s="51" t="s">
        <v>206</v>
      </c>
      <c r="F234" s="51"/>
      <c r="G234" s="26" t="s">
        <v>207</v>
      </c>
      <c r="H234" s="35" t="s">
        <v>0</v>
      </c>
      <c r="I234" s="11"/>
      <c r="J234" s="11"/>
    </row>
    <row r="235" spans="1:10" s="13" customFormat="1" ht="14.45" customHeight="1" x14ac:dyDescent="0.2">
      <c r="A235" s="26" t="s">
        <v>215</v>
      </c>
      <c r="B235" s="35" t="s">
        <v>0</v>
      </c>
      <c r="C235" s="21"/>
      <c r="D235" s="12"/>
      <c r="E235" s="5"/>
      <c r="F235" s="5"/>
      <c r="G235" s="11"/>
      <c r="H235" s="11"/>
      <c r="I235" s="11"/>
      <c r="J235" s="11"/>
    </row>
    <row r="236" spans="1:10" s="13" customFormat="1" ht="14.45" customHeight="1" x14ac:dyDescent="0.2">
      <c r="A236" s="26" t="s">
        <v>67</v>
      </c>
      <c r="B236" s="48"/>
      <c r="C236" s="48"/>
      <c r="D236" s="48"/>
      <c r="E236" s="48"/>
      <c r="F236" s="48"/>
      <c r="G236" s="48"/>
      <c r="H236" s="48"/>
      <c r="I236" s="48"/>
      <c r="J236" s="48"/>
    </row>
    <row r="237" spans="1:10" s="13" customFormat="1" ht="14.45" customHeight="1" x14ac:dyDescent="0.2">
      <c r="A237" s="48"/>
      <c r="B237" s="48"/>
      <c r="C237" s="48"/>
      <c r="D237" s="48"/>
      <c r="E237" s="48"/>
      <c r="F237" s="48"/>
      <c r="G237" s="48"/>
      <c r="H237" s="48"/>
      <c r="I237" s="48"/>
      <c r="J237" s="48"/>
    </row>
    <row r="238" spans="1:10" s="13" customFormat="1" ht="14.45" customHeight="1" x14ac:dyDescent="0.2">
      <c r="A238" s="48"/>
      <c r="B238" s="48"/>
      <c r="C238" s="48"/>
      <c r="D238" s="48"/>
      <c r="E238" s="48"/>
      <c r="F238" s="48"/>
      <c r="G238" s="48"/>
      <c r="H238" s="48"/>
      <c r="I238" s="48"/>
      <c r="J238" s="48"/>
    </row>
    <row r="239" spans="1:10" s="13" customFormat="1" ht="14.45" customHeight="1" x14ac:dyDescent="0.2">
      <c r="A239" s="11"/>
      <c r="B239" s="5"/>
      <c r="C239" s="11"/>
      <c r="D239" s="12"/>
      <c r="E239" s="11"/>
      <c r="F239" s="11"/>
      <c r="G239" s="11"/>
      <c r="H239" s="11"/>
      <c r="I239" s="11"/>
      <c r="J239" s="11"/>
    </row>
    <row r="240" spans="1:10" s="13" customFormat="1" ht="14.45" customHeight="1" x14ac:dyDescent="0.2">
      <c r="A240" s="47" t="s">
        <v>216</v>
      </c>
      <c r="B240" s="47"/>
      <c r="C240" s="47"/>
      <c r="D240" s="47"/>
      <c r="E240" s="47"/>
      <c r="F240" s="47"/>
      <c r="G240" s="47"/>
      <c r="H240" s="47"/>
      <c r="I240" s="47"/>
      <c r="J240" s="47"/>
    </row>
    <row r="241" spans="1:10" s="13" customFormat="1" ht="14.45" hidden="1" customHeight="1" x14ac:dyDescent="0.2">
      <c r="A241" s="49" t="s">
        <v>217</v>
      </c>
      <c r="B241" s="49"/>
      <c r="C241" s="49"/>
      <c r="D241" s="49"/>
      <c r="E241" s="49"/>
      <c r="F241" s="49"/>
      <c r="G241" s="49"/>
      <c r="H241" s="49"/>
      <c r="I241" s="49"/>
      <c r="J241" s="49"/>
    </row>
    <row r="242" spans="1:10" s="13" customFormat="1" ht="14.45" hidden="1" customHeight="1" x14ac:dyDescent="0.2">
      <c r="A242" s="26" t="s">
        <v>204</v>
      </c>
      <c r="B242" s="35"/>
      <c r="C242" s="14" t="s">
        <v>205</v>
      </c>
      <c r="D242" s="32">
        <f>DEGREES(B242)</f>
        <v>0</v>
      </c>
      <c r="E242" s="51" t="s">
        <v>206</v>
      </c>
      <c r="F242" s="51"/>
      <c r="G242" s="26" t="s">
        <v>207</v>
      </c>
      <c r="H242" s="35"/>
      <c r="I242" s="11"/>
      <c r="J242" s="11"/>
    </row>
    <row r="243" spans="1:10" s="13" customFormat="1" ht="14.45" hidden="1" customHeight="1" x14ac:dyDescent="0.2">
      <c r="A243" s="26" t="s">
        <v>208</v>
      </c>
      <c r="B243" s="35"/>
      <c r="C243" s="14" t="s">
        <v>205</v>
      </c>
      <c r="D243" s="32">
        <f t="shared" ref="D243:D249" si="1">DEGREES(B243)</f>
        <v>0</v>
      </c>
      <c r="E243" s="51" t="s">
        <v>206</v>
      </c>
      <c r="F243" s="51"/>
      <c r="G243" s="26" t="s">
        <v>207</v>
      </c>
      <c r="H243" s="35"/>
      <c r="I243" s="11"/>
      <c r="J243" s="11"/>
    </row>
    <row r="244" spans="1:10" s="13" customFormat="1" ht="14.45" hidden="1" customHeight="1" x14ac:dyDescent="0.2">
      <c r="A244" s="26" t="s">
        <v>209</v>
      </c>
      <c r="B244" s="35"/>
      <c r="C244" s="14" t="s">
        <v>205</v>
      </c>
      <c r="D244" s="32">
        <f t="shared" si="1"/>
        <v>0</v>
      </c>
      <c r="E244" s="51" t="s">
        <v>206</v>
      </c>
      <c r="F244" s="51"/>
      <c r="G244" s="26" t="s">
        <v>207</v>
      </c>
      <c r="H244" s="35"/>
      <c r="I244" s="11"/>
      <c r="J244" s="11"/>
    </row>
    <row r="245" spans="1:10" s="13" customFormat="1" ht="14.45" hidden="1" customHeight="1" x14ac:dyDescent="0.2">
      <c r="A245" s="26" t="s">
        <v>210</v>
      </c>
      <c r="B245" s="35"/>
      <c r="C245" s="14" t="s">
        <v>205</v>
      </c>
      <c r="D245" s="32">
        <f t="shared" si="1"/>
        <v>0</v>
      </c>
      <c r="E245" s="51" t="s">
        <v>206</v>
      </c>
      <c r="F245" s="51"/>
      <c r="G245" s="26" t="s">
        <v>207</v>
      </c>
      <c r="H245" s="35"/>
      <c r="I245" s="11"/>
      <c r="J245" s="11"/>
    </row>
    <row r="246" spans="1:10" s="13" customFormat="1" ht="14.45" hidden="1" customHeight="1" x14ac:dyDescent="0.2">
      <c r="A246" s="26" t="s">
        <v>211</v>
      </c>
      <c r="B246" s="35"/>
      <c r="C246" s="14" t="s">
        <v>205</v>
      </c>
      <c r="D246" s="32">
        <f t="shared" si="1"/>
        <v>0</v>
      </c>
      <c r="E246" s="51" t="s">
        <v>206</v>
      </c>
      <c r="F246" s="51"/>
      <c r="G246" s="26" t="s">
        <v>207</v>
      </c>
      <c r="H246" s="35"/>
      <c r="I246" s="11"/>
      <c r="J246" s="11"/>
    </row>
    <row r="247" spans="1:10" hidden="1" x14ac:dyDescent="0.25">
      <c r="A247" s="26" t="s">
        <v>212</v>
      </c>
      <c r="B247" s="35"/>
      <c r="C247" s="14" t="s">
        <v>205</v>
      </c>
      <c r="D247" s="32">
        <f t="shared" si="1"/>
        <v>0</v>
      </c>
      <c r="E247" s="51" t="s">
        <v>206</v>
      </c>
      <c r="F247" s="51"/>
      <c r="G247" s="26" t="s">
        <v>207</v>
      </c>
      <c r="H247" s="35"/>
      <c r="I247" s="11"/>
      <c r="J247" s="11"/>
    </row>
    <row r="248" spans="1:10" hidden="1" x14ac:dyDescent="0.25">
      <c r="A248" s="26" t="s">
        <v>213</v>
      </c>
      <c r="B248" s="35"/>
      <c r="C248" s="14" t="s">
        <v>205</v>
      </c>
      <c r="D248" s="32">
        <f t="shared" si="1"/>
        <v>0</v>
      </c>
      <c r="E248" s="51" t="s">
        <v>206</v>
      </c>
      <c r="F248" s="51"/>
      <c r="G248" s="26" t="s">
        <v>207</v>
      </c>
      <c r="H248" s="35"/>
      <c r="I248" s="11"/>
      <c r="J248" s="11"/>
    </row>
    <row r="249" spans="1:10" hidden="1" x14ac:dyDescent="0.25">
      <c r="A249" s="26" t="s">
        <v>214</v>
      </c>
      <c r="B249" s="35"/>
      <c r="C249" s="14" t="s">
        <v>205</v>
      </c>
      <c r="D249" s="32">
        <f t="shared" si="1"/>
        <v>0</v>
      </c>
      <c r="E249" s="51" t="s">
        <v>206</v>
      </c>
      <c r="F249" s="51"/>
      <c r="G249" s="26" t="s">
        <v>207</v>
      </c>
      <c r="H249" s="35"/>
      <c r="I249" s="11"/>
      <c r="J249" s="11"/>
    </row>
    <row r="250" spans="1:10" hidden="1" x14ac:dyDescent="0.25">
      <c r="A250" s="26" t="s">
        <v>215</v>
      </c>
      <c r="B250" s="35"/>
      <c r="C250" s="21"/>
      <c r="D250" s="12"/>
      <c r="E250" s="5"/>
      <c r="F250" s="5"/>
      <c r="G250" s="11"/>
      <c r="H250" s="11"/>
      <c r="I250" s="11"/>
      <c r="J250" s="11"/>
    </row>
    <row r="251" spans="1:10" hidden="1" x14ac:dyDescent="0.25">
      <c r="A251" s="26" t="s">
        <v>67</v>
      </c>
      <c r="B251" s="48"/>
      <c r="C251" s="48"/>
      <c r="D251" s="48"/>
      <c r="E251" s="48"/>
      <c r="F251" s="48"/>
      <c r="G251" s="48"/>
      <c r="H251" s="48"/>
      <c r="I251" s="48"/>
      <c r="J251" s="48"/>
    </row>
    <row r="252" spans="1:10" hidden="1" x14ac:dyDescent="0.25">
      <c r="A252" s="48"/>
      <c r="B252" s="48"/>
      <c r="C252" s="48"/>
      <c r="D252" s="48"/>
      <c r="E252" s="48"/>
      <c r="F252" s="48"/>
      <c r="G252" s="48"/>
      <c r="H252" s="48"/>
      <c r="I252" s="48"/>
      <c r="J252" s="48"/>
    </row>
    <row r="253" spans="1:10" hidden="1" x14ac:dyDescent="0.25">
      <c r="A253" s="48"/>
      <c r="B253" s="48"/>
      <c r="C253" s="48"/>
      <c r="D253" s="48"/>
      <c r="E253" s="48"/>
      <c r="F253" s="48"/>
      <c r="G253" s="48"/>
      <c r="H253" s="48"/>
      <c r="I253" s="48"/>
      <c r="J253" s="48"/>
    </row>
    <row r="254" spans="1:10" x14ac:dyDescent="0.25">
      <c r="A254" s="11"/>
      <c r="B254" s="5"/>
      <c r="C254" s="11"/>
      <c r="D254" s="12"/>
      <c r="E254" s="11"/>
      <c r="F254" s="11"/>
      <c r="G254" s="11"/>
      <c r="H254" s="11"/>
      <c r="I254" s="11"/>
      <c r="J254" s="11"/>
    </row>
    <row r="255" spans="1:10" x14ac:dyDescent="0.25">
      <c r="B255" s="1"/>
      <c r="C255" s="2"/>
      <c r="D255" s="3"/>
    </row>
    <row r="256" spans="1:10" x14ac:dyDescent="0.25">
      <c r="B256" s="1"/>
      <c r="C256" s="2"/>
      <c r="D256" s="3"/>
    </row>
    <row r="257" spans="2:2" x14ac:dyDescent="0.25">
      <c r="B257" s="2"/>
    </row>
  </sheetData>
  <sheetProtection selectLockedCells="1"/>
  <protectedRanges>
    <protectedRange algorithmName="SHA-512" hashValue="1879lU/HopQl400NT5vmVTasDG0H3J+NYEF3MmHKlv0wNGw/TeITHltp5wfLPLcxmccAQqEqZhOR+FOcl5C6iQ==" saltValue="OF/i3hAqbzfv/9dNIdKUcQ==" spinCount="100000" sqref="D5:D22" name="Task_completion"/>
  </protectedRanges>
  <mergeCells count="185">
    <mergeCell ref="E218:F218"/>
    <mergeCell ref="E214:F214"/>
    <mergeCell ref="E215:F215"/>
    <mergeCell ref="E216:F216"/>
    <mergeCell ref="E219:F219"/>
    <mergeCell ref="E220:F220"/>
    <mergeCell ref="E221:F221"/>
    <mergeCell ref="C214:D214"/>
    <mergeCell ref="C215:D215"/>
    <mergeCell ref="C216:D216"/>
    <mergeCell ref="C217:D217"/>
    <mergeCell ref="C218:D218"/>
    <mergeCell ref="C219:D219"/>
    <mergeCell ref="C220:D220"/>
    <mergeCell ref="C221:D221"/>
    <mergeCell ref="E93:F93"/>
    <mergeCell ref="F124:G124"/>
    <mergeCell ref="F125:G125"/>
    <mergeCell ref="F127:G127"/>
    <mergeCell ref="A132:J132"/>
    <mergeCell ref="A133:J133"/>
    <mergeCell ref="A145:J145"/>
    <mergeCell ref="A149:J149"/>
    <mergeCell ref="A156:J156"/>
    <mergeCell ref="B140:J140"/>
    <mergeCell ref="A141:J141"/>
    <mergeCell ref="A142:J142"/>
    <mergeCell ref="A144:J144"/>
    <mergeCell ref="C123:E123"/>
    <mergeCell ref="C124:E124"/>
    <mergeCell ref="A138:J138"/>
    <mergeCell ref="E155:F155"/>
    <mergeCell ref="B128:J128"/>
    <mergeCell ref="A95:J95"/>
    <mergeCell ref="A96:J96"/>
    <mergeCell ref="A110:J110"/>
    <mergeCell ref="E104:F104"/>
    <mergeCell ref="F126:G126"/>
    <mergeCell ref="B105:J105"/>
    <mergeCell ref="D48:F48"/>
    <mergeCell ref="A130:J130"/>
    <mergeCell ref="E193:F193"/>
    <mergeCell ref="A164:J164"/>
    <mergeCell ref="C166:D166"/>
    <mergeCell ref="E166:F166"/>
    <mergeCell ref="B179:J179"/>
    <mergeCell ref="A180:J180"/>
    <mergeCell ref="B183:J183"/>
    <mergeCell ref="B159:J159"/>
    <mergeCell ref="A184:J184"/>
    <mergeCell ref="A181:J181"/>
    <mergeCell ref="E66:F66"/>
    <mergeCell ref="E67:F67"/>
    <mergeCell ref="C77:E77"/>
    <mergeCell ref="F77:G77"/>
    <mergeCell ref="A98:J98"/>
    <mergeCell ref="A99:J99"/>
    <mergeCell ref="C125:E125"/>
    <mergeCell ref="F122:G122"/>
    <mergeCell ref="F123:G123"/>
    <mergeCell ref="A174:J174"/>
    <mergeCell ref="A161:J161"/>
    <mergeCell ref="A163:J163"/>
    <mergeCell ref="A1:J1"/>
    <mergeCell ref="A26:J26"/>
    <mergeCell ref="A43:J43"/>
    <mergeCell ref="A44:J44"/>
    <mergeCell ref="G2:I2"/>
    <mergeCell ref="A27:J27"/>
    <mergeCell ref="B50:J50"/>
    <mergeCell ref="A54:J54"/>
    <mergeCell ref="B39:J39"/>
    <mergeCell ref="A40:J40"/>
    <mergeCell ref="A41:J41"/>
    <mergeCell ref="A51:J51"/>
    <mergeCell ref="A52:J52"/>
    <mergeCell ref="B48:C48"/>
    <mergeCell ref="B49:C49"/>
    <mergeCell ref="A34:J34"/>
    <mergeCell ref="G14:I14"/>
    <mergeCell ref="B45:C45"/>
    <mergeCell ref="B46:C46"/>
    <mergeCell ref="B47:C47"/>
    <mergeCell ref="D49:F49"/>
    <mergeCell ref="E45:J45"/>
    <mergeCell ref="E46:J46"/>
    <mergeCell ref="D47:F47"/>
    <mergeCell ref="E229:F229"/>
    <mergeCell ref="E134:F134"/>
    <mergeCell ref="E135:F135"/>
    <mergeCell ref="E139:F139"/>
    <mergeCell ref="A253:J253"/>
    <mergeCell ref="E242:F242"/>
    <mergeCell ref="E243:F243"/>
    <mergeCell ref="E244:F244"/>
    <mergeCell ref="E245:F245"/>
    <mergeCell ref="E246:F246"/>
    <mergeCell ref="E247:F247"/>
    <mergeCell ref="E248:F248"/>
    <mergeCell ref="E249:F249"/>
    <mergeCell ref="A252:J252"/>
    <mergeCell ref="B196:J196"/>
    <mergeCell ref="A197:J197"/>
    <mergeCell ref="A198:J198"/>
    <mergeCell ref="E150:F150"/>
    <mergeCell ref="E151:F151"/>
    <mergeCell ref="E152:F152"/>
    <mergeCell ref="E153:F153"/>
    <mergeCell ref="E154:F154"/>
    <mergeCell ref="A160:J160"/>
    <mergeCell ref="E217:F217"/>
    <mergeCell ref="E90:F90"/>
    <mergeCell ref="E91:F91"/>
    <mergeCell ref="E92:F92"/>
    <mergeCell ref="A121:J121"/>
    <mergeCell ref="A107:J107"/>
    <mergeCell ref="B94:J94"/>
    <mergeCell ref="E100:F100"/>
    <mergeCell ref="A241:J241"/>
    <mergeCell ref="B251:J251"/>
    <mergeCell ref="A200:J200"/>
    <mergeCell ref="E230:F230"/>
    <mergeCell ref="E231:F231"/>
    <mergeCell ref="E232:F232"/>
    <mergeCell ref="E233:F233"/>
    <mergeCell ref="E234:F234"/>
    <mergeCell ref="B236:J236"/>
    <mergeCell ref="A237:J237"/>
    <mergeCell ref="E228:F228"/>
    <mergeCell ref="A208:J208"/>
    <mergeCell ref="A201:J201"/>
    <mergeCell ref="B204:J204"/>
    <mergeCell ref="A205:J205"/>
    <mergeCell ref="A206:J206"/>
    <mergeCell ref="E202:F202"/>
    <mergeCell ref="A240:J240"/>
    <mergeCell ref="A225:J225"/>
    <mergeCell ref="B213:J213"/>
    <mergeCell ref="A222:J222"/>
    <mergeCell ref="A223:J223"/>
    <mergeCell ref="A209:J209"/>
    <mergeCell ref="A167:J167"/>
    <mergeCell ref="E101:F101"/>
    <mergeCell ref="E102:F102"/>
    <mergeCell ref="E103:F103"/>
    <mergeCell ref="C122:E122"/>
    <mergeCell ref="A106:J106"/>
    <mergeCell ref="A109:J109"/>
    <mergeCell ref="F112:G112"/>
    <mergeCell ref="F113:G113"/>
    <mergeCell ref="A226:J226"/>
    <mergeCell ref="E227:F227"/>
    <mergeCell ref="E137:F137"/>
    <mergeCell ref="A129:J129"/>
    <mergeCell ref="E194:F194"/>
    <mergeCell ref="F146:G146"/>
    <mergeCell ref="F147:G147"/>
    <mergeCell ref="F148:G148"/>
    <mergeCell ref="A238:J238"/>
    <mergeCell ref="E89:F89"/>
    <mergeCell ref="A61:J61"/>
    <mergeCell ref="A87:J87"/>
    <mergeCell ref="B57:J57"/>
    <mergeCell ref="A58:J58"/>
    <mergeCell ref="A59:J59"/>
    <mergeCell ref="A88:J88"/>
    <mergeCell ref="F82:G82"/>
    <mergeCell ref="B83:J83"/>
    <mergeCell ref="F79:G79"/>
    <mergeCell ref="A84:J84"/>
    <mergeCell ref="A85:J85"/>
    <mergeCell ref="B55:C55"/>
    <mergeCell ref="I56:J56"/>
    <mergeCell ref="E56:F56"/>
    <mergeCell ref="A76:J76"/>
    <mergeCell ref="C79:E79"/>
    <mergeCell ref="D55:F55"/>
    <mergeCell ref="C80:E80"/>
    <mergeCell ref="F80:G80"/>
    <mergeCell ref="F81:G81"/>
    <mergeCell ref="A62:J62"/>
    <mergeCell ref="E64:F64"/>
    <mergeCell ref="E65:F65"/>
    <mergeCell ref="C78:E78"/>
    <mergeCell ref="F78:G78"/>
  </mergeCells>
  <conditionalFormatting sqref="D32 B150 B242:B250 B210:B212 B146:B148 D150 B155 G150 I150 B157:B158 D155 D89 D91:D92 G89 G91:G92 B120 B134:B137 B63:B64 B111:B112 B89 B28:B32 E56 H56 B165:B166 B195 E166 B55:B56 B45">
    <cfRule type="cellIs" dxfId="57" priority="119" operator="equal">
      <formula>FALSE</formula>
    </cfRule>
  </conditionalFormatting>
  <conditionalFormatting sqref="D5:D22">
    <cfRule type="cellIs" dxfId="56" priority="113" operator="equal">
      <formula>"NO"</formula>
    </cfRule>
  </conditionalFormatting>
  <conditionalFormatting sqref="D100 B100 G100">
    <cfRule type="cellIs" dxfId="55" priority="102" operator="equal">
      <formula>FALSE</formula>
    </cfRule>
  </conditionalFormatting>
  <conditionalFormatting sqref="G100">
    <cfRule type="cellIs" dxfId="54" priority="101" operator="equal">
      <formula>FALSE</formula>
    </cfRule>
  </conditionalFormatting>
  <conditionalFormatting sqref="H242:H249">
    <cfRule type="cellIs" dxfId="53" priority="69" operator="equal">
      <formula>FALSE</formula>
    </cfRule>
  </conditionalFormatting>
  <conditionalFormatting sqref="B227:B235">
    <cfRule type="cellIs" dxfId="52" priority="68" operator="equal">
      <formula>FALSE</formula>
    </cfRule>
  </conditionalFormatting>
  <conditionalFormatting sqref="H222:H223 H225:H234">
    <cfRule type="cellIs" dxfId="51" priority="67" operator="equal">
      <formula>FALSE</formula>
    </cfRule>
  </conditionalFormatting>
  <conditionalFormatting sqref="H146 H148">
    <cfRule type="cellIs" dxfId="50" priority="66" operator="equal">
      <formula>FALSE</formula>
    </cfRule>
  </conditionalFormatting>
  <conditionalFormatting sqref="H147">
    <cfRule type="cellIs" dxfId="49" priority="65" operator="equal">
      <formula>FALSE</formula>
    </cfRule>
  </conditionalFormatting>
  <conditionalFormatting sqref="B139">
    <cfRule type="cellIs" dxfId="48" priority="64" operator="equal">
      <formula>FALSE</formula>
    </cfRule>
  </conditionalFormatting>
  <conditionalFormatting sqref="B91:B93">
    <cfRule type="cellIs" dxfId="47" priority="63" operator="equal">
      <formula>FALSE</formula>
    </cfRule>
  </conditionalFormatting>
  <conditionalFormatting sqref="B119 D120">
    <cfRule type="cellIs" dxfId="46" priority="61" operator="equal">
      <formula>FALSE</formula>
    </cfRule>
  </conditionalFormatting>
  <conditionalFormatting sqref="B114">
    <cfRule type="cellIs" dxfId="45" priority="59" operator="equal">
      <formula>FALSE</formula>
    </cfRule>
  </conditionalFormatting>
  <conditionalFormatting sqref="B113 D113">
    <cfRule type="cellIs" dxfId="44" priority="58" operator="equal">
      <formula>FALSE</formula>
    </cfRule>
  </conditionalFormatting>
  <conditionalFormatting sqref="D64 D66:D67 G64 G66:G67 I64 I66:I67 B75">
    <cfRule type="cellIs" dxfId="43" priority="47" operator="equal">
      <formula>FALSE</formula>
    </cfRule>
  </conditionalFormatting>
  <conditionalFormatting sqref="B74 D75">
    <cfRule type="cellIs" dxfId="42" priority="45" operator="equal">
      <formula>FALSE</formula>
    </cfRule>
  </conditionalFormatting>
  <conditionalFormatting sqref="B69 D69">
    <cfRule type="cellIs" dxfId="41" priority="44" operator="equal">
      <formula>FALSE</formula>
    </cfRule>
  </conditionalFormatting>
  <conditionalFormatting sqref="B68 D68">
    <cfRule type="cellIs" dxfId="40" priority="43" operator="equal">
      <formula>FALSE</formula>
    </cfRule>
  </conditionalFormatting>
  <conditionalFormatting sqref="H75">
    <cfRule type="cellIs" dxfId="39" priority="42" operator="equal">
      <formula>FALSE</formula>
    </cfRule>
  </conditionalFormatting>
  <conditionalFormatting sqref="B66:B67">
    <cfRule type="cellIs" dxfId="38" priority="46" operator="equal">
      <formula>FALSE</formula>
    </cfRule>
  </conditionalFormatting>
  <conditionalFormatting sqref="D33 B33">
    <cfRule type="cellIs" dxfId="37" priority="41" operator="equal">
      <formula>FALSE</formula>
    </cfRule>
  </conditionalFormatting>
  <conditionalFormatting sqref="E194">
    <cfRule type="cellIs" dxfId="36" priority="40" operator="equal">
      <formula>FALSE</formula>
    </cfRule>
  </conditionalFormatting>
  <conditionalFormatting sqref="B193 B182">
    <cfRule type="cellIs" dxfId="35" priority="39" operator="equal">
      <formula>FALSE</formula>
    </cfRule>
  </conditionalFormatting>
  <conditionalFormatting sqref="B194 E193">
    <cfRule type="cellIs" dxfId="34" priority="38" operator="equal">
      <formula>FALSE</formula>
    </cfRule>
  </conditionalFormatting>
  <conditionalFormatting sqref="D172 B168:B172">
    <cfRule type="cellIs" dxfId="33" priority="37" operator="equal">
      <formula>FALSE</formula>
    </cfRule>
  </conditionalFormatting>
  <conditionalFormatting sqref="D173 B173">
    <cfRule type="cellIs" dxfId="32" priority="36" operator="equal">
      <formula>FALSE</formula>
    </cfRule>
  </conditionalFormatting>
  <conditionalFormatting sqref="G195">
    <cfRule type="cellIs" dxfId="31" priority="35" operator="equal">
      <formula>FALSE</formula>
    </cfRule>
  </conditionalFormatting>
  <conditionalFormatting sqref="I89 I91:I92">
    <cfRule type="cellIs" dxfId="30" priority="34" operator="equal">
      <formula>FALSE</formula>
    </cfRule>
  </conditionalFormatting>
  <conditionalFormatting sqref="D187 B185:B187">
    <cfRule type="cellIs" dxfId="29" priority="33" operator="equal">
      <formula>FALSE</formula>
    </cfRule>
  </conditionalFormatting>
  <conditionalFormatting sqref="D188 B188">
    <cfRule type="cellIs" dxfId="28" priority="32" operator="equal">
      <formula>FALSE</formula>
    </cfRule>
  </conditionalFormatting>
  <conditionalFormatting sqref="B202:B203">
    <cfRule type="cellIs" dxfId="27" priority="31" operator="equal">
      <formula>FALSE</formula>
    </cfRule>
  </conditionalFormatting>
  <conditionalFormatting sqref="H112">
    <cfRule type="cellIs" dxfId="26" priority="30" operator="equal">
      <formula>FALSE</formula>
    </cfRule>
  </conditionalFormatting>
  <conditionalFormatting sqref="H113">
    <cfRule type="cellIs" dxfId="25" priority="29" operator="equal">
      <formula>FALSE</formula>
    </cfRule>
  </conditionalFormatting>
  <conditionalFormatting sqref="G55">
    <cfRule type="cellIs" dxfId="24" priority="28" operator="equal">
      <formula>FALSE</formula>
    </cfRule>
  </conditionalFormatting>
  <conditionalFormatting sqref="I55">
    <cfRule type="cellIs" dxfId="23" priority="27" operator="equal">
      <formula>FALSE</formula>
    </cfRule>
  </conditionalFormatting>
  <conditionalFormatting sqref="E134:E135">
    <cfRule type="cellIs" dxfId="22" priority="26" operator="equal">
      <formula>FALSE</formula>
    </cfRule>
  </conditionalFormatting>
  <conditionalFormatting sqref="E139">
    <cfRule type="cellIs" dxfId="21" priority="24" operator="equal">
      <formula>FALSE</formula>
    </cfRule>
  </conditionalFormatting>
  <conditionalFormatting sqref="I134">
    <cfRule type="cellIs" dxfId="20" priority="23" operator="equal">
      <formula>FALSE</formula>
    </cfRule>
  </conditionalFormatting>
  <conditionalFormatting sqref="I135">
    <cfRule type="cellIs" dxfId="19" priority="22" operator="equal">
      <formula>FALSE</formula>
    </cfRule>
  </conditionalFormatting>
  <conditionalFormatting sqref="E137">
    <cfRule type="cellIs" dxfId="18" priority="21" operator="equal">
      <formula>FALSE</formula>
    </cfRule>
  </conditionalFormatting>
  <conditionalFormatting sqref="G155">
    <cfRule type="cellIs" dxfId="17" priority="20" operator="equal">
      <formula>FALSE</formula>
    </cfRule>
  </conditionalFormatting>
  <conditionalFormatting sqref="E93">
    <cfRule type="cellIs" dxfId="16" priority="19" operator="equal">
      <formula>FALSE</formula>
    </cfRule>
  </conditionalFormatting>
  <conditionalFormatting sqref="D112">
    <cfRule type="cellIs" dxfId="15" priority="18" operator="equal">
      <formula>FALSE</formula>
    </cfRule>
  </conditionalFormatting>
  <conditionalFormatting sqref="I137">
    <cfRule type="cellIs" dxfId="14" priority="16" operator="equal">
      <formula>FALSE</formula>
    </cfRule>
  </conditionalFormatting>
  <conditionalFormatting sqref="E202">
    <cfRule type="cellIs" dxfId="13" priority="15" operator="equal">
      <formula>FALSE</formula>
    </cfRule>
  </conditionalFormatting>
  <conditionalFormatting sqref="H117">
    <cfRule type="cellIs" dxfId="12" priority="14" operator="equal">
      <formula>FALSE</formula>
    </cfRule>
  </conditionalFormatting>
  <conditionalFormatting sqref="E45:E46">
    <cfRule type="cellIs" dxfId="11" priority="13" operator="equal">
      <formula>FALSE</formula>
    </cfRule>
  </conditionalFormatting>
  <conditionalFormatting sqref="G47">
    <cfRule type="cellIs" dxfId="10" priority="12" operator="equal">
      <formula>FALSE</formula>
    </cfRule>
  </conditionalFormatting>
  <conditionalFormatting sqref="G48">
    <cfRule type="cellIs" dxfId="9" priority="11" operator="equal">
      <formula>FALSE</formula>
    </cfRule>
  </conditionalFormatting>
  <conditionalFormatting sqref="G49">
    <cfRule type="cellIs" dxfId="8" priority="9" operator="equal">
      <formula>FALSE</formula>
    </cfRule>
  </conditionalFormatting>
  <conditionalFormatting sqref="I139">
    <cfRule type="cellIs" dxfId="7" priority="7" operator="equal">
      <formula>FALSE</formula>
    </cfRule>
  </conditionalFormatting>
  <conditionalFormatting sqref="B214:B221">
    <cfRule type="cellIs" dxfId="6" priority="6" operator="equal">
      <formula>FALSE</formula>
    </cfRule>
  </conditionalFormatting>
  <conditionalFormatting sqref="H214:H221">
    <cfRule type="cellIs" dxfId="5" priority="5" operator="equal">
      <formula>FALSE</formula>
    </cfRule>
  </conditionalFormatting>
  <conditionalFormatting sqref="H212">
    <cfRule type="cellIs" dxfId="4" priority="4" operator="equal">
      <formula>FALSE</formula>
    </cfRule>
  </conditionalFormatting>
  <conditionalFormatting sqref="D114">
    <cfRule type="cellIs" dxfId="3" priority="3" operator="equal">
      <formula>FALSE</formula>
    </cfRule>
  </conditionalFormatting>
  <conditionalFormatting sqref="H120">
    <cfRule type="cellIs" dxfId="2" priority="2" operator="equal">
      <formula>FALSE</formula>
    </cfRule>
  </conditionalFormatting>
  <conditionalFormatting sqref="B46:B49">
    <cfRule type="cellIs" dxfId="1" priority="1" operator="equal">
      <formula>FALSE</formula>
    </cfRule>
  </conditionalFormatting>
  <dataValidations count="1">
    <dataValidation allowBlank="1" showInputMessage="1" showErrorMessage="1" prompt="IS TASK REQUIRED?" sqref="C19:C22"/>
  </dataValidations>
  <pageMargins left="0.7" right="0.7" top="0.75" bottom="0.75" header="0.3" footer="0.3"/>
  <pageSetup paperSize="9" scale="82" fitToHeight="0" orientation="landscape" r:id="rId1"/>
  <drawing r:id="rId2"/>
  <extLst>
    <ext xmlns:x14="http://schemas.microsoft.com/office/spreadsheetml/2009/9/main" uri="{CCE6A557-97BC-4b89-ADB6-D9C93CAAB3DF}">
      <x14:dataValidations xmlns:xm="http://schemas.microsoft.com/office/excel/2006/main" count="6">
        <x14:dataValidation type="list" allowBlank="1" showInputMessage="1" showErrorMessage="1" prompt="IS TASK REQUIRED?">
          <x14:formula1>
            <xm:f>LOOKUP!$A$1:$A$6</xm:f>
          </x14:formula1>
          <xm:sqref>D24 C5:C18</xm:sqref>
        </x14:dataValidation>
        <x14:dataValidation type="list" allowBlank="1" showInputMessage="1" showErrorMessage="1">
          <x14:formula1>
            <xm:f>LOOKUP!$A$1:$A$6</xm:f>
          </x14:formula1>
          <xm:sqref>D100:D104 B235 B212 B146:B147 B155 B157:B158 H212 B93 D23 H146:H148 H242:H249 B250 I150:I155 B137 B139 B134 D5:D18 B56 B193 E193:F193 G55 I55 I134:I135 E137 E93 D112 B202:B203 I137 E202 H117 G49 H214:H221 H227:H234</xm:sqref>
        </x14:dataValidation>
        <x14:dataValidation type="list" allowBlank="1" showInputMessage="1" showErrorMessage="1">
          <x14:formula1>
            <xm:f>LOOKUP!$B$1:$B$10</xm:f>
          </x14:formula1>
          <xm:sqref>B114:B118 B69:B73</xm:sqref>
        </x14:dataValidation>
        <x14:dataValidation type="list" allowBlank="1" showInputMessage="1" showErrorMessage="1">
          <x14:formula1>
            <xm:f>LOOKUP!$D$1:$D$6</xm:f>
          </x14:formula1>
          <xm:sqref>D89:D92 D64:D67</xm:sqref>
        </x14:dataValidation>
        <x14:dataValidation type="list" allowBlank="1" showInputMessage="1" showErrorMessage="1">
          <x14:formula1>
            <xm:f>LOOKUP!$E$1:$E$3</xm:f>
          </x14:formula1>
          <xm:sqref>B68 B113</xm:sqref>
        </x14:dataValidation>
        <x14:dataValidation type="list" allowBlank="1" showInputMessage="1" showErrorMessage="1">
          <x14:formula1>
            <xm:f>LOOKUP!$C$1:$C$8</xm:f>
          </x14:formula1>
          <xm:sqref>B89:B92 B64:B67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1"/>
  <sheetViews>
    <sheetView workbookViewId="0">
      <selection activeCell="I5" sqref="I5"/>
    </sheetView>
  </sheetViews>
  <sheetFormatPr defaultRowHeight="15" x14ac:dyDescent="0.25"/>
  <sheetData>
    <row r="1" spans="1:7" x14ac:dyDescent="0.25">
      <c r="A1" t="s">
        <v>218</v>
      </c>
      <c r="C1" t="s">
        <v>219</v>
      </c>
      <c r="F1" t="s">
        <v>220</v>
      </c>
    </row>
    <row r="2" spans="1:7" x14ac:dyDescent="0.25">
      <c r="C2" t="s">
        <v>221</v>
      </c>
      <c r="D2" t="s">
        <v>222</v>
      </c>
      <c r="F2" t="s">
        <v>221</v>
      </c>
      <c r="G2" t="s">
        <v>222</v>
      </c>
    </row>
    <row r="3" spans="1:7" x14ac:dyDescent="0.25">
      <c r="A3">
        <v>0</v>
      </c>
      <c r="C3">
        <f>IF(REFURB!D227&gt;0,REFURB!D227, FALSE)</f>
        <v>0.57295779513082323</v>
      </c>
      <c r="D3">
        <f>IF(C3&lt;180, C3-A3, C3-360)</f>
        <v>0.57295779513082323</v>
      </c>
      <c r="F3" t="b">
        <f>IF(REFURB!D242&gt;0,REFURB!D242, FALSE)</f>
        <v>0</v>
      </c>
      <c r="G3">
        <f>IF(F3&lt;180, F3-A3, F3-360)</f>
        <v>-360</v>
      </c>
    </row>
    <row r="4" spans="1:7" x14ac:dyDescent="0.25">
      <c r="A4">
        <v>45</v>
      </c>
      <c r="C4">
        <f>IF(REFURB!D228&gt;0,REFURB!D228, FALSE)</f>
        <v>40.851890792827696</v>
      </c>
      <c r="D4">
        <f t="shared" ref="D4:D8" si="0">C4-A4</f>
        <v>-4.148109207172304</v>
      </c>
      <c r="F4" t="b">
        <f>IF(REFURB!D243&gt;0,REFURB!D243, FALSE)</f>
        <v>0</v>
      </c>
      <c r="G4">
        <f t="shared" ref="G4:G9" si="1">F4-A4</f>
        <v>-45</v>
      </c>
    </row>
    <row r="5" spans="1:7" x14ac:dyDescent="0.25">
      <c r="A5">
        <v>90</v>
      </c>
      <c r="C5">
        <f>IF(REFURB!D229&gt;0,REFURB!D229, FALSE)</f>
        <v>80.787049113446074</v>
      </c>
      <c r="D5">
        <f t="shared" si="0"/>
        <v>-9.2129508865539265</v>
      </c>
      <c r="F5" t="b">
        <f>IF(REFURB!D244&gt;0,REFURB!D244, FALSE)</f>
        <v>0</v>
      </c>
      <c r="G5">
        <f t="shared" si="1"/>
        <v>-90</v>
      </c>
    </row>
    <row r="6" spans="1:7" x14ac:dyDescent="0.25">
      <c r="A6">
        <v>135</v>
      </c>
      <c r="C6">
        <f>IF(REFURB!D230&gt;0,REFURB!D230, FALSE)</f>
        <v>130.63437728982768</v>
      </c>
      <c r="D6">
        <f t="shared" si="0"/>
        <v>-4.3656227101723175</v>
      </c>
      <c r="F6" t="b">
        <f>IF(REFURB!D245&gt;0,REFURB!D245, FALSE)</f>
        <v>0</v>
      </c>
      <c r="G6">
        <f t="shared" si="1"/>
        <v>-135</v>
      </c>
    </row>
    <row r="7" spans="1:7" x14ac:dyDescent="0.25">
      <c r="A7">
        <v>180</v>
      </c>
      <c r="C7">
        <f>IF(REFURB!D231&gt;0,REFURB!D231, FALSE)</f>
        <v>174.17916971977027</v>
      </c>
      <c r="D7">
        <f t="shared" si="0"/>
        <v>-5.8208302802297283</v>
      </c>
      <c r="F7" t="b">
        <f>IF(REFURB!D246&gt;0,REFURB!D246, FALSE)</f>
        <v>0</v>
      </c>
      <c r="G7">
        <f t="shared" si="1"/>
        <v>-180</v>
      </c>
    </row>
    <row r="8" spans="1:7" x14ac:dyDescent="0.25">
      <c r="A8">
        <v>225</v>
      </c>
      <c r="C8">
        <f>IF(REFURB!D232&gt;0,REFURB!D232, FALSE)</f>
        <v>230.3290336425909</v>
      </c>
      <c r="D8">
        <f t="shared" si="0"/>
        <v>5.3290336425909004</v>
      </c>
      <c r="F8" t="b">
        <f>IF(REFURB!D247&gt;0,REFURB!D247, FALSE)</f>
        <v>0</v>
      </c>
      <c r="G8">
        <f t="shared" si="1"/>
        <v>-225</v>
      </c>
    </row>
    <row r="9" spans="1:7" x14ac:dyDescent="0.25">
      <c r="A9">
        <v>270</v>
      </c>
      <c r="C9">
        <f>IF(REFURB!D233&gt;0,REFURB!D233, FALSE)</f>
        <v>275.59269945792596</v>
      </c>
      <c r="D9">
        <f>C9-A9</f>
        <v>5.5926994579259599</v>
      </c>
      <c r="F9" t="b">
        <f>IF(REFURB!D248&gt;0,REFURB!D248, FALSE)</f>
        <v>0</v>
      </c>
      <c r="G9">
        <f t="shared" si="1"/>
        <v>-270</v>
      </c>
    </row>
    <row r="10" spans="1:7" x14ac:dyDescent="0.25">
      <c r="A10">
        <v>315</v>
      </c>
      <c r="C10">
        <f>IF(REFURB!D234&gt;0,REFURB!D234, FALSE)</f>
        <v>320.28340747813019</v>
      </c>
      <c r="D10">
        <f>C10-A10</f>
        <v>5.2834074781301865</v>
      </c>
      <c r="F10" t="b">
        <f>IF(REFURB!D249&gt;0,REFURB!D249, FALSE)</f>
        <v>0</v>
      </c>
      <c r="G10">
        <f>F10-A10</f>
        <v>-315</v>
      </c>
    </row>
    <row r="11" spans="1:7" x14ac:dyDescent="0.25">
      <c r="A11">
        <v>360</v>
      </c>
      <c r="D11">
        <f>D3</f>
        <v>0.57295779513082323</v>
      </c>
      <c r="G11">
        <f>G3</f>
        <v>-360</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14D24406CDA17479D8DE77C77473EA7" ma:contentTypeVersion="12" ma:contentTypeDescription="Create a new document." ma:contentTypeScope="" ma:versionID="a23457bcb946a0db93ca46ecc94bd40c">
  <xsd:schema xmlns:xsd="http://www.w3.org/2001/XMLSchema" xmlns:xs="http://www.w3.org/2001/XMLSchema" xmlns:p="http://schemas.microsoft.com/office/2006/metadata/properties" xmlns:ns2="d2c3065d-3e18-4744-81f3-ed13ad3f6416" xmlns:ns3="b4338947-6af7-478f-92c3-71e91a8aa012" targetNamespace="http://schemas.microsoft.com/office/2006/metadata/properties" ma:root="true" ma:fieldsID="8dae517cddd1594b2ede7292dae04ce0" ns2:_="" ns3:_="">
    <xsd:import namespace="d2c3065d-3e18-4744-81f3-ed13ad3f6416"/>
    <xsd:import namespace="b4338947-6af7-478f-92c3-71e91a8aa01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2c3065d-3e18-4744-81f3-ed13ad3f641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4338947-6af7-478f-92c3-71e91a8aa012"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5CA49D1-319C-476B-89F0-E83A8084E6F1}"/>
</file>

<file path=customXml/itemProps2.xml><?xml version="1.0" encoding="utf-8"?>
<ds:datastoreItem xmlns:ds="http://schemas.openxmlformats.org/officeDocument/2006/customXml" ds:itemID="{723D378E-0767-4A42-9260-1BF6F32FA4A6}">
  <ds:schemaRefs>
    <ds:schemaRef ds:uri="http://schemas.microsoft.com/sharepoint/v3/contenttype/forms"/>
  </ds:schemaRefs>
</ds:datastoreItem>
</file>

<file path=customXml/itemProps3.xml><?xml version="1.0" encoding="utf-8"?>
<ds:datastoreItem xmlns:ds="http://schemas.openxmlformats.org/officeDocument/2006/customXml" ds:itemID="{117C7DFC-9EAC-4CF6-A469-9BBD233340FB}">
  <ds:schemaRefs>
    <ds:schemaRef ds:uri="c8b2687d-f71e-44f8-a545-e0688c32fe88"/>
    <ds:schemaRef ds:uri="efb708aa-695a-45c5-9e85-fea3be540249"/>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http://purl.org/dc/dcmitype/"/>
    <ds:schemaRef ds:uri="http://schemas.microsoft.com/office/infopath/2007/PartnerControl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LOOKUP</vt:lpstr>
      <vt:lpstr>REFURB</vt:lpstr>
      <vt:lpstr>COMPASS</vt:lpstr>
      <vt:lpstr>REFURB!Print_Area</vt:lpstr>
    </vt:vector>
  </TitlesOfParts>
  <Manager/>
  <Company>National Oceanography Centre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help</dc:creator>
  <cp:keywords/>
  <dc:description/>
  <cp:lastModifiedBy>Barham, Mark C.</cp:lastModifiedBy>
  <cp:revision/>
  <dcterms:created xsi:type="dcterms:W3CDTF">2015-06-30T15:20:43Z</dcterms:created>
  <dcterms:modified xsi:type="dcterms:W3CDTF">2021-08-19T14:17:45Z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0x010100814D24406CDA17479D8DE77C77473EA7</vt:lpwstr>
  </property>
  <property fmtid="{D5CDD505-2E9C-101B-9397-08002B2CF9AE}" pid="3" name="AuthorIds_UIVersion_10752">
    <vt:lpwstr>16</vt:lpwstr>
  </property>
</Properties>
</file>